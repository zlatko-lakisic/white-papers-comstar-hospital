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Outcomes" sheetId="3" state="visible" r:id="rId5"/>
    <sheet name="Investment" sheetId="4" state="visible" r:id="rId6"/>
    <sheet name="Returns" sheetId="5" state="visible" r:id="rId7"/>
    <sheet name="Sensitiv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<sst xmlns="http://schemas.openxmlformats.org/spreadsheetml/2006/main" count="344" uniqueCount="287">
  <si>
    <t xml:space="preserve">COMSTAR Hospital ROI Model</t>
  </si>
  <si>
    <t xml:space="preserve">First-glance estimate. Version 1.0, August 2026.</t>
  </si>
  <si>
    <t xml:space="preserve">What this is</t>
  </si>
  <si>
    <t xml:space="preserve">A capacity and return model for deploying an addressable edge-intelligence layer in a hospital,</t>
  </si>
  <si>
    <t xml:space="preserve">covering the six outcomes described in 'COMSTAR: The Addressable Hospital' (White Paper v1.0).</t>
  </si>
  <si>
    <t xml:space="preserve">It is a first-glance estimate built on public aggregate data and stated assumptions. It is not a</t>
  </si>
  <si>
    <t xml:space="preserve">business case. Every figure should be replaced with the target facility's own measurements.</t>
  </si>
  <si>
    <t xml:space="preserve">How to use it</t>
  </si>
  <si>
    <t xml:space="preserve">1. Open 'Assumptions' and change any BLUE cell. Every other sheet recalculates.</t>
  </si>
  <si>
    <t xml:space="preserve">2. YELLOW cells are the levers that move the answer most. Test those first.</t>
  </si>
  <si>
    <t xml:space="preserve">3. 'Outcomes' shows value and FTE effect per use case.</t>
  </si>
  <si>
    <t xml:space="preserve">4. 'Investment' shows capital and operating cost, full deployment and phased entry.</t>
  </si>
  <si>
    <t xml:space="preserve">5. 'Returns' shows payback, NPV and IRR for both scopes.</t>
  </si>
  <si>
    <t xml:space="preserve">6. 'Sensitivity' shows how the answer moves against the four inputs that matter.</t>
  </si>
  <si>
    <t xml:space="preserve">The distinction that matters most</t>
  </si>
  <si>
    <t xml:space="preserve">Five of the six outcomes AUGMENT. They return fractional time across a large population.</t>
  </si>
  <si>
    <t xml:space="preserve">Recovering 15 minutes per shift across 750 nursing FTEs is 9.4 FTE-equivalents of capacity.</t>
  </si>
  <si>
    <t xml:space="preserve">It is not 9 fewer nurses. It realises as reduced overtime, reduced agency spend, lower</t>
  </si>
  <si>
    <t xml:space="preserve">turnover, and capacity to absorb census growth without adding heads.</t>
  </si>
  <si>
    <t xml:space="preserve">Exactly one outcome produces genuine headcount reduction: sitter substitution (Outcome 6).</t>
  </si>
  <si>
    <t xml:space="preserve">It is also the one with the hardest regulatory path. That tension is the central finding.</t>
  </si>
  <si>
    <t xml:space="preserve">Colour convention</t>
  </si>
  <si>
    <t xml:space="preserve">BLUE text = editable input.   BLACK = formula.   GREEN = link from another sheet.</t>
  </si>
  <si>
    <t xml:space="preserve">YELLOW fill = key assumption. Change these first.</t>
  </si>
  <si>
    <t xml:space="preserve">Sources and caveats</t>
  </si>
  <si>
    <t xml:space="preserve">Facility sizing: AHA Fast Facts on U.S. Hospitals 2026 (FY2024 survey), Definitive Healthcare</t>
  </si>
  <si>
    <t xml:space="preserve">HospitalView. Operational figures for equipment search time, pump utilisation, boarding cost</t>
  </si>
  <si>
    <t xml:space="preserve">and documentation burden are drawn from the general health services literature and are used</t>
  </si>
  <si>
    <t xml:space="preserve">here as orders of magnitude, not as specific findings. Wage and margin figures are US national</t>
  </si>
  <si>
    <t xml:space="preserve">blended estimates and vary widely by market and payer mix.</t>
  </si>
  <si>
    <t xml:space="preserve">Prepared alongside 'COMSTAR: The Addressable Hospital', White Paper v1.0. CC BY 4.0.</t>
  </si>
  <si>
    <t xml:space="preserve">Assumptions</t>
  </si>
  <si>
    <t xml:space="preserve">Edit BLUE cells only. Yellow fill marks the levers that move the answer most.</t>
  </si>
  <si>
    <t xml:space="preserve">FACILITY</t>
  </si>
  <si>
    <t xml:space="preserve">Staffed beds</t>
  </si>
  <si>
    <t xml:space="preserve">beds</t>
  </si>
  <si>
    <t xml:space="preserve">Reference facility. Average US bed sits in a ~400-bed hospital.</t>
  </si>
  <si>
    <t xml:space="preserve">Average occupancy</t>
  </si>
  <si>
    <t xml:space="preserve">Drives census and the value of recovered bed-time.</t>
  </si>
  <si>
    <t xml:space="preserve">Average length of stay</t>
  </si>
  <si>
    <t xml:space="preserve">days</t>
  </si>
  <si>
    <t xml:space="preserve">Annual ED visits</t>
  </si>
  <si>
    <t xml:space="preserve">visits</t>
  </si>
  <si>
    <t xml:space="preserve">~175 per bed per year, national average.</t>
  </si>
  <si>
    <t xml:space="preserve">Operating rooms</t>
  </si>
  <si>
    <t xml:space="preserve">rooms</t>
  </si>
  <si>
    <t xml:space="preserve">~1 per 22 beds.</t>
  </si>
  <si>
    <t xml:space="preserve">First cases per OR per year</t>
  </si>
  <si>
    <t xml:space="preserve">cases</t>
  </si>
  <si>
    <t xml:space="preserve">Contribution margin per admission</t>
  </si>
  <si>
    <t xml:space="preserve">$</t>
  </si>
  <si>
    <t xml:space="preserve">Ranges &lt;$1,000 safety-net to &gt;$5,000 commercial.</t>
  </si>
  <si>
    <t xml:space="preserve">WORKFORCE</t>
  </si>
  <si>
    <t xml:space="preserve">RN FTEs</t>
  </si>
  <si>
    <t xml:space="preserve">FTE</t>
  </si>
  <si>
    <t xml:space="preserve">From ~1,000 headcount across all shifts.</t>
  </si>
  <si>
    <t xml:space="preserve">RN fully loaded cost</t>
  </si>
  <si>
    <t xml:space="preserve">$/yr</t>
  </si>
  <si>
    <t xml:space="preserve">Salary, benefits, tax. Excludes agency premium.</t>
  </si>
  <si>
    <t xml:space="preserve">Productive hours per FTE per year</t>
  </si>
  <si>
    <t xml:space="preserve">hrs</t>
  </si>
  <si>
    <t xml:space="preserve">Employed physician FTEs</t>
  </si>
  <si>
    <t xml:space="preserve">Excludes privileged-only medical staff.</t>
  </si>
  <si>
    <t xml:space="preserve">Physician fully loaded cost</t>
  </si>
  <si>
    <t xml:space="preserve">Blended across specialties.</t>
  </si>
  <si>
    <t xml:space="preserve">Physician working days per year</t>
  </si>
  <si>
    <t xml:space="preserve">EVS FTEs</t>
  </si>
  <si>
    <t xml:space="preserve">EVS fully loaded cost</t>
  </si>
  <si>
    <t xml:space="preserve">Sitter hourly fully loaded cost</t>
  </si>
  <si>
    <t xml:space="preserve">$/hr</t>
  </si>
  <si>
    <t xml:space="preserve">OUTCOME 1: ASSET LOCATION AND READINESS</t>
  </si>
  <si>
    <t xml:space="preserve">Search time per nurse per 12h shift</t>
  </si>
  <si>
    <t xml:space="preserve">min</t>
  </si>
  <si>
    <t xml:space="preserve">Literature range 10-30 min. Conservative end used.</t>
  </si>
  <si>
    <t xml:space="preserve">Share of search time recoverable</t>
  </si>
  <si>
    <t xml:space="preserve">Not all search is eliminable.</t>
  </si>
  <si>
    <t xml:space="preserve">Annual equipment rental avoided</t>
  </si>
  <si>
    <t xml:space="preserve">Hospitals rent what they own but cannot find.</t>
  </si>
  <si>
    <t xml:space="preserve">Annual deferred capital purchase</t>
  </si>
  <si>
    <t xml:space="preserve">Utilisation gain defers fleet expansion.</t>
  </si>
  <si>
    <t xml:space="preserve">OUTCOME 2: ROOM READINESS AND TURNOVER</t>
  </si>
  <si>
    <t xml:space="preserve">Bed turnaround time reduction</t>
  </si>
  <si>
    <t xml:space="preserve">From actual-clean to known-clean.</t>
  </si>
  <si>
    <t xml:space="preserve">EVS reporting time saved per FTE per shift</t>
  </si>
  <si>
    <t xml:space="preserve">LWBS rate reduction</t>
  </si>
  <si>
    <t xml:space="preserve">Left-without-being-seen, half a point.</t>
  </si>
  <si>
    <t xml:space="preserve">Margin per ED visit converted</t>
  </si>
  <si>
    <t xml:space="preserve">OUTCOME 3: SCHEDULE AND CONFLICT DETECTION</t>
  </si>
  <si>
    <t xml:space="preserve">First-case on-time start, baseline</t>
  </si>
  <si>
    <t xml:space="preserve">Typical baseline.</t>
  </si>
  <si>
    <t xml:space="preserve">First-case on-time start, target</t>
  </si>
  <si>
    <t xml:space="preserve">Average delay avoided per case</t>
  </si>
  <si>
    <t xml:space="preserve">Fully loaded OR cost per minute</t>
  </si>
  <si>
    <t xml:space="preserve">$/min</t>
  </si>
  <si>
    <t xml:space="preserve">Staff, room, opportunity.</t>
  </si>
  <si>
    <t xml:space="preserve">Same-day cancellations avoided</t>
  </si>
  <si>
    <t xml:space="preserve">Contribution margin per surgical case</t>
  </si>
  <si>
    <t xml:space="preserve">OUTCOME 4: AMBIENT CLINICAL DOCUMENTATION</t>
  </si>
  <si>
    <t xml:space="preserve">Documentation time saved per MD per day</t>
  </si>
  <si>
    <t xml:space="preserve">Vendor claims 60-90. Discounted.</t>
  </si>
  <si>
    <t xml:space="preserve">Share realised as usable capacity</t>
  </si>
  <si>
    <t xml:space="preserve">Rest returns as reduced burnout, not throughput.</t>
  </si>
  <si>
    <t xml:space="preserve">Physician departures prevented per year</t>
  </si>
  <si>
    <t xml:space="preserve">Cost to replace a physician</t>
  </si>
  <si>
    <t xml:space="preserve">Recruitment, ramp, lost billings.</t>
  </si>
  <si>
    <t xml:space="preserve">Cloud ambient docs subscription avoided</t>
  </si>
  <si>
    <t xml:space="preserve">$/MD/mo</t>
  </si>
  <si>
    <t xml:space="preserve">The true alternative baseline.</t>
  </si>
  <si>
    <t xml:space="preserve">OUTCOME 5: PATIENT INTERACTION</t>
  </si>
  <si>
    <t xml:space="preserve">Call lights per patient per day</t>
  </si>
  <si>
    <t xml:space="preserve">Nurse minutes per call light response</t>
  </si>
  <si>
    <t xml:space="preserve">Includes the walk.</t>
  </si>
  <si>
    <t xml:space="preserve">Share of call volume deflected</t>
  </si>
  <si>
    <t xml:space="preserve">Informational requests only.</t>
  </si>
  <si>
    <t xml:space="preserve">Share of deflected time realised</t>
  </si>
  <si>
    <t xml:space="preserve">OUTCOME 6: SAFETY OBSERVATION</t>
  </si>
  <si>
    <t xml:space="preserve">Concurrent 1:1 sitters</t>
  </si>
  <si>
    <t xml:space="preserve">Sitter reduction achieved</t>
  </si>
  <si>
    <t xml:space="preserve">Video observation products claim 50-75%.</t>
  </si>
  <si>
    <t xml:space="preserve">Monitor tech FTEs required</t>
  </si>
  <si>
    <t xml:space="preserve">One tech covers 12-16 patients.</t>
  </si>
  <si>
    <t xml:space="preserve">Monitor tech fully loaded cost</t>
  </si>
  <si>
    <t xml:space="preserve">Injurious falls prevented per year</t>
  </si>
  <si>
    <t xml:space="preserve">Cost per injurious fall</t>
  </si>
  <si>
    <t xml:space="preserve">Non-reimbursable under CMS HAC rules.</t>
  </si>
  <si>
    <t xml:space="preserve">INVESTMENT</t>
  </si>
  <si>
    <t xml:space="preserve">Terminals, full deployment</t>
  </si>
  <si>
    <t xml:space="preserve">units</t>
  </si>
  <si>
    <t xml:space="preserve">1.5 per staffed bed, clinical spaces.</t>
  </si>
  <si>
    <t xml:space="preserve">Installed cost per terminal</t>
  </si>
  <si>
    <t xml:space="preserve">Device, mount, panel, labour.</t>
  </si>
  <si>
    <t xml:space="preserve">Compute and servers, full</t>
  </si>
  <si>
    <t xml:space="preserve">4-8 accelerators plus hosts.</t>
  </si>
  <si>
    <t xml:space="preserve">UWB / RTLS extension, full</t>
  </si>
  <si>
    <t xml:space="preserve">Anchors, tags, integration.</t>
  </si>
  <si>
    <t xml:space="preserve">Integration and services, full</t>
  </si>
  <si>
    <t xml:space="preserve">Tool layer to hospital systems.</t>
  </si>
  <si>
    <t xml:space="preserve">Private 5G, full</t>
  </si>
  <si>
    <t xml:space="preserve">Often deferred or shared across a system.</t>
  </si>
  <si>
    <t xml:space="preserve">Terminals, phase 0+1</t>
  </si>
  <si>
    <t xml:space="preserve">One to two units, operational outcomes only.</t>
  </si>
  <si>
    <t xml:space="preserve">Compute, phase 0+1</t>
  </si>
  <si>
    <t xml:space="preserve">RTLS extension, phase 0+1</t>
  </si>
  <si>
    <t xml:space="preserve">Integration, phase 0+1</t>
  </si>
  <si>
    <t xml:space="preserve">OPERATING COST</t>
  </si>
  <si>
    <t xml:space="preserve">Support as share of capital</t>
  </si>
  <si>
    <t xml:space="preserve">Internal FTEs to run the platform</t>
  </si>
  <si>
    <t xml:space="preserve">Internal FTE fully loaded cost</t>
  </si>
  <si>
    <t xml:space="preserve">Annual power, full deployment</t>
  </si>
  <si>
    <t xml:space="preserve">~167 MWh.</t>
  </si>
  <si>
    <t xml:space="preserve">Annual model and licence cost</t>
  </si>
  <si>
    <t xml:space="preserve">FINANCIAL</t>
  </si>
  <si>
    <t xml:space="preserve">Soft-dollar discount on augment outcomes</t>
  </si>
  <si>
    <t xml:space="preserve">Finance will apply 30-50%. Test it here.</t>
  </si>
  <si>
    <t xml:space="preserve">Benefit realisation, year 1</t>
  </si>
  <si>
    <t xml:space="preserve">Benefit realisation, year 2</t>
  </si>
  <si>
    <t xml:space="preserve">Benefit realisation, year 3+</t>
  </si>
  <si>
    <t xml:space="preserve">Discount rate</t>
  </si>
  <si>
    <t xml:space="preserve">Model horizon</t>
  </si>
  <si>
    <t xml:space="preserve">years</t>
  </si>
  <si>
    <t xml:space="preserve">Value by outcome</t>
  </si>
  <si>
    <t xml:space="preserve">All figures annual, at full realisation, before the soft-dollar discount.</t>
  </si>
  <si>
    <t xml:space="preserve">Outcome / component</t>
  </si>
  <si>
    <t xml:space="preserve">Annual value</t>
  </si>
  <si>
    <t xml:space="preserve">FTE-equivalent</t>
  </si>
  <si>
    <t xml:space="preserve">Type</t>
  </si>
  <si>
    <t xml:space="preserve">Basis</t>
  </si>
  <si>
    <t xml:space="preserve">1. ASSET LOCATION AND READINESS</t>
  </si>
  <si>
    <t xml:space="preserve">Nursing search time recovered</t>
  </si>
  <si>
    <t xml:space="preserve">Augment</t>
  </si>
  <si>
    <t xml:space="preserve">15 min/shift x 60% recoverable across 750 RN FTEs</t>
  </si>
  <si>
    <t xml:space="preserve">Equipment rental avoided</t>
  </si>
  <si>
    <t xml:space="preserve">Cash</t>
  </si>
  <si>
    <t xml:space="preserve">Renting owned-but-unfindable equipment</t>
  </si>
  <si>
    <t xml:space="preserve">Deferred capital purchase</t>
  </si>
  <si>
    <t xml:space="preserve">Capital</t>
  </si>
  <si>
    <t xml:space="preserve">Utilisation gain defers fleet expansion</t>
  </si>
  <si>
    <t xml:space="preserve">Subtotal, Outcome 1</t>
  </si>
  <si>
    <t xml:space="preserve">2. ROOM READINESS AND TURNOVER</t>
  </si>
  <si>
    <t xml:space="preserve">Bed-days recovered from faster turnaround</t>
  </si>
  <si>
    <t xml:space="preserve">Recovered bed-days x margin, only valuable if capacity-constrained</t>
  </si>
  <si>
    <t xml:space="preserve">ED left-without-being-seen reduction</t>
  </si>
  <si>
    <t xml:space="preserve">EVS reporting time recovered</t>
  </si>
  <si>
    <t xml:space="preserve">Subtotal, Outcome 2</t>
  </si>
  <si>
    <t xml:space="preserve">3. SCHEDULE AND CONFLICT DETECTION</t>
  </si>
  <si>
    <t xml:space="preserve">OR minutes recovered, on-time starts</t>
  </si>
  <si>
    <t xml:space="preserve">4,500 first cases x 15pt improvement x 20 min x $40/min</t>
  </si>
  <si>
    <t xml:space="preserve">Coordination time recovered</t>
  </si>
  <si>
    <t xml:space="preserve">Charge nurse and coordinator reconciliation effort</t>
  </si>
  <si>
    <t xml:space="preserve">Subtotal, Outcome 3</t>
  </si>
  <si>
    <t xml:space="preserve">4. AMBIENT CLINICAL DOCUMENTATION</t>
  </si>
  <si>
    <t xml:space="preserve">Physician time recovered</t>
  </si>
  <si>
    <t xml:space="preserve">Physician retention</t>
  </si>
  <si>
    <t xml:space="preserve">Cloud subscription avoided</t>
  </si>
  <si>
    <t xml:space="preserve">The true alternative is buying a cloud product, not doing nothing</t>
  </si>
  <si>
    <t xml:space="preserve">Subtotal, Outcome 4</t>
  </si>
  <si>
    <t xml:space="preserve">5. PATIENT INTERACTION</t>
  </si>
  <si>
    <t xml:space="preserve">Call-light response time deflected</t>
  </si>
  <si>
    <t xml:space="preserve">Informational call lights only, clinical requests still escalate</t>
  </si>
  <si>
    <t xml:space="preserve">Subtotal, Outcome 5</t>
  </si>
  <si>
    <t xml:space="preserve">6. SAFETY OBSERVATION</t>
  </si>
  <si>
    <t xml:space="preserve">Sitter hours eliminated, net of monitor techs</t>
  </si>
  <si>
    <t xml:space="preserve">REPLACE</t>
  </si>
  <si>
    <t xml:space="preserve">The only genuine headcount reduction, and the hardest to approve</t>
  </si>
  <si>
    <t xml:space="preserve">Injurious falls prevented</t>
  </si>
  <si>
    <t xml:space="preserve">Non-reimbursable under CMS hospital-acquired condition rules</t>
  </si>
  <si>
    <t xml:space="preserve">Subtotal, Outcome 6</t>
  </si>
  <si>
    <t xml:space="preserve">TOTAL, ALL SIX OUTCOMES</t>
  </si>
  <si>
    <t xml:space="preserve">of which augment (soft dollars)</t>
  </si>
  <si>
    <t xml:space="preserve">of which actual headcount reduction</t>
  </si>
  <si>
    <t xml:space="preserve">Phase 0+1 only (outcomes 1-3, no PHI, no cameras)</t>
  </si>
  <si>
    <t xml:space="preserve">No regulatory approval, no consent framework, no device pathway</t>
  </si>
  <si>
    <t xml:space="preserve">After soft-dollar discount</t>
  </si>
  <si>
    <t xml:space="preserve">Total, discounted</t>
  </si>
  <si>
    <t xml:space="preserve">Finance will apply 30-50% to augment outcomes. Set it on Assumptions.</t>
  </si>
  <si>
    <t xml:space="preserve">Phase 0+1, discounted</t>
  </si>
  <si>
    <t xml:space="preserve">Investment and operating cost</t>
  </si>
  <si>
    <t xml:space="preserve">Item</t>
  </si>
  <si>
    <t xml:space="preserve">Full deployment</t>
  </si>
  <si>
    <t xml:space="preserve">Phase 0+1</t>
  </si>
  <si>
    <t xml:space="preserve">Note</t>
  </si>
  <si>
    <t xml:space="preserve">CAPITAL</t>
  </si>
  <si>
    <t xml:space="preserve">Terminals</t>
  </si>
  <si>
    <t xml:space="preserve">Device, mount, panel, install labour</t>
  </si>
  <si>
    <t xml:space="preserve">Compute and servers</t>
  </si>
  <si>
    <t xml:space="preserve">Accelerators plus hosts</t>
  </si>
  <si>
    <t xml:space="preserve">UWB / RTLS extension</t>
  </si>
  <si>
    <t xml:space="preserve">Anchors, tags, integration</t>
  </si>
  <si>
    <t xml:space="preserve">Integration and services</t>
  </si>
  <si>
    <t xml:space="preserve">Tool layer to hospital systems</t>
  </si>
  <si>
    <t xml:space="preserve">Private 5G</t>
  </si>
  <si>
    <t xml:space="preserve">Deferred in phase 0+1; often shared across a system</t>
  </si>
  <si>
    <t xml:space="preserve">Total capital</t>
  </si>
  <si>
    <t xml:space="preserve">ANNUAL OPERATING</t>
  </si>
  <si>
    <t xml:space="preserve">Support and maintenance</t>
  </si>
  <si>
    <t xml:space="preserve">Percentage of capital</t>
  </si>
  <si>
    <t xml:space="preserve">Internal platform staff</t>
  </si>
  <si>
    <t xml:space="preserve">Half an allocation in phase 0+1</t>
  </si>
  <si>
    <t xml:space="preserve">Power</t>
  </si>
  <si>
    <t xml:space="preserve">Models and licences</t>
  </si>
  <si>
    <t xml:space="preserve">Total annual operating</t>
  </si>
  <si>
    <t xml:space="preserve">Returns</t>
  </si>
  <si>
    <t xml:space="preserve">Benefits ramp per the realisation assumptions. Capital in year 0.</t>
  </si>
  <si>
    <t xml:space="preserve">FULL DEPLOYMENT, ALL SIX OUTCOMES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</si>
  <si>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</si>
  <si>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</si>
  <si>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</si>
  <si>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</si>
  <si>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</si>
  <si>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</si>
  <si>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Realisation</t>
  </si>
  <si>
    <t xml:space="preserve">Benefit</t>
  </si>
  <si>
    <t xml:space="preserve">Operating cost</t>
  </si>
  <si>
    <t xml:space="preserve">Net cash flow</t>
  </si>
  <si>
    <t xml:space="preserve">Cumulative</t>
  </si>
  <si>
    <t xml:space="preserve">NPV (5 yr)</t>
  </si>
  <si>
    <t xml:space="preserve">IRR</t>
  </si>
  <si>
    <t xml:space="preserve">Payback crossing (helper)</t>
  </si>
  <si>
    <t xml:space="preserve">Payback (months)</t>
  </si>
  <si>
    <t xml:space="preserve">5-year cumulative return on capital</t>
  </si>
  <si>
    <t xml:space="preserve">PHASE 0+1 ONLY, OUTCOMES 1-3 (no PHI, no cameras, no biometrics)</t>
  </si>
  <si>
    <t xml:space="preserve">Phase 0+1 is the number to lead with: no regulatory approval, no consent framework, no device pathway.</t>
  </si>
  <si>
    <t xml:space="preserve">Sensitivity</t>
  </si>
  <si>
    <t xml:space="preserve">The four inputs that move the answer most. Change the driver on Assumptions and watch these.</t>
  </si>
  <si>
    <t xml:space="preserve">Current model output</t>
  </si>
  <si>
    <t xml:space="preserve">Total annual value, undiscounted</t>
  </si>
  <si>
    <t xml:space="preserve">Total annual value, after soft-dollar discount</t>
  </si>
  <si>
    <t xml:space="preserve">Phase 0+1 annual value, discounted</t>
  </si>
  <si>
    <t xml:space="preserve">Total FTE-equivalents</t>
  </si>
  <si>
    <t xml:space="preserve">of which actual headcount</t>
  </si>
  <si>
    <t xml:space="preserve">Full deployment capital</t>
  </si>
  <si>
    <t xml:space="preserve">Phase 0+1 capital</t>
  </si>
  <si>
    <t xml:space="preserve">What breaks this, in order of impact</t>
  </si>
  <si>
    <t xml:space="preserve">Soft-dollar discount</t>
  </si>
  <si>
    <t xml:space="preserve">Finance will haircut augment outcomes 30-50%. At 40%, total falls by roughly a quarter and payback stretches by six months. Model it yourself before they do.</t>
  </si>
  <si>
    <t xml:space="preserve">Occupancy</t>
  </si>
  <si>
    <t xml:space="preserve">Outcome 2 is worth nothing if the hospital is not capacity-constrained, and 3-5x the estimate if it is. Ask about occupancy and boarding hours before quoting.</t>
  </si>
  <si>
    <t xml:space="preserve">Payer mix</t>
  </si>
  <si>
    <t xml:space="preserve">Contribution margin per admission ranges under $1,000 to over $5,000. That single input swings outcomes 2 and 4 threefold.</t>
  </si>
  <si>
    <t xml:space="preserve">Outcome 6 gating</t>
  </si>
  <si>
    <t xml:space="preserve">Remove sitter substitution and actual headcount reduction goes to zero. The case becomes entirely soft dollars, which is a different conversation.</t>
  </si>
  <si>
    <t xml:space="preserve">Adoption</t>
  </si>
  <si>
    <t xml:space="preserve">Every hour assumes clinicians use it. A voice interface people route around returns nothing. No spreadsheet captures this.</t>
  </si>
  <si>
    <t xml:space="preserve">Workforce reception</t>
  </si>
  <si>
    <t xml:space="preserve">Sitter reduction affects real people and turns a technology programme into a labour negotiation. Frame as redeployment to short-staffed direct care roles, and raise it before deployment.</t>
  </si>
  <si>
    <t xml:space="preserve">The honest one-line version</t>
  </si>
  <si>
    <t xml:space="preserve">For a 400-bed hospital: roughly $4M to $6M of annual value and about 55 FTE-equivalents of capacity, of which realistically 30 or so is genuine headcount and all of it sits in the hardest use case. The operations-only entry point delivers roughly $2.3M for under $600K of capital and pays back inside a year. The strategic argument is not headcount. It is handing capacity back to a workforce that is already short, in a market where you cannot hire your way out.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</si>
</sst>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.0"/>
    <numFmt numFmtId="168" formatCode="\$#,##0;&quot;($&quot;#,##0\);\-"/>
    <numFmt numFmtId="169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 t="s">
        <v>11</v>
      </c>
    </row>
    <row r="15" customFormat="false" ht="15" hidden="false" customHeight="false" outlineLevel="0" collapsed="false">
      <c r="B15" s="3" t="s">
        <v>12</v>
      </c>
    </row>
    <row r="16" customFormat="false" ht="15" hidden="false" customHeight="false" outlineLevel="0" collapsed="false">
      <c r="B16" s="3" t="s">
        <v>13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3" t="s">
        <v>15</v>
      </c>
    </row>
    <row r="20" customFormat="false" ht="15" hidden="false" customHeight="false" outlineLevel="0" collapsed="false">
      <c r="B20" s="3" t="s">
        <v>16</v>
      </c>
    </row>
    <row r="21" customFormat="false" ht="15" hidden="false" customHeight="false" outlineLevel="0" collapsed="false">
      <c r="B21" s="3" t="s">
        <v>17</v>
      </c>
    </row>
    <row r="22" customFormat="false" ht="15" hidden="false" customHeight="false" outlineLevel="0" collapsed="false">
      <c r="B22" s="3" t="s">
        <v>18</v>
      </c>
    </row>
    <row r="23" customFormat="false" ht="15" hidden="false" customHeight="false" outlineLevel="0" collapsed="false">
      <c r="B23" s="3"/>
    </row>
    <row r="24" customFormat="false" ht="15" hidden="false" customHeight="false" outlineLevel="0" collapsed="false">
      <c r="B24" s="3" t="s">
        <v>19</v>
      </c>
    </row>
    <row r="25" customFormat="false" ht="15" hidden="false" customHeight="false" outlineLevel="0" collapsed="false">
      <c r="B25" s="3" t="s">
        <v>20</v>
      </c>
    </row>
    <row r="26" customFormat="false" ht="15" hidden="false" customHeight="false" outlineLevel="0" collapsed="false">
      <c r="B26" s="3"/>
    </row>
    <row r="27" customFormat="false" ht="15" hidden="false" customHeight="false" outlineLevel="0" collapsed="false">
      <c r="B27" s="4" t="s">
        <v>21</v>
      </c>
    </row>
    <row r="28" customFormat="false" ht="15" hidden="false" customHeight="false" outlineLevel="0" collapsed="false">
      <c r="B28" s="3" t="s">
        <v>22</v>
      </c>
    </row>
    <row r="29" customFormat="false" ht="15" hidden="false" customHeight="false" outlineLevel="0" collapsed="false">
      <c r="B29" s="3" t="s">
        <v>23</v>
      </c>
    </row>
    <row r="30" customFormat="false" ht="15" hidden="false" customHeight="false" outlineLevel="0" collapsed="false">
      <c r="B30" s="3"/>
    </row>
    <row r="31" customFormat="false" ht="15" hidden="false" customHeight="false" outlineLevel="0" collapsed="false">
      <c r="B31" s="4" t="s">
        <v>24</v>
      </c>
    </row>
    <row r="32" customFormat="false" ht="15" hidden="false" customHeight="false" outlineLevel="0" collapsed="false">
      <c r="B32" s="3" t="s">
        <v>25</v>
      </c>
    </row>
    <row r="33" customFormat="false" ht="15" hidden="false" customHeight="false" outlineLevel="0" collapsed="false">
      <c r="B33" s="3" t="s">
        <v>26</v>
      </c>
    </row>
    <row r="34" customFormat="false" ht="15" hidden="false" customHeight="false" outlineLevel="0" collapsed="false">
      <c r="B34" s="3" t="s">
        <v>27</v>
      </c>
    </row>
    <row r="35" customFormat="false" ht="15" hidden="false" customHeight="false" outlineLevel="0" collapsed="false">
      <c r="B35" s="3" t="s">
        <v>28</v>
      </c>
    </row>
    <row r="36" customFormat="false" ht="15" hidden="false" customHeight="false" outlineLevel="0" collapsed="false">
      <c r="B36" s="3" t="s">
        <v>29</v>
      </c>
    </row>
    <row r="37" customFormat="false" ht="15" hidden="false" customHeight="false" outlineLevel="0" collapsed="false">
      <c r="B37" s="3"/>
    </row>
    <row r="38" customFormat="false" ht="15" hidden="false" customHeight="false" outlineLevel="0" collapsed="false">
      <c r="B38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58"/>
  </cols>
  <sheetData>
    <row r="1" customFormat="false" ht="17.35" hidden="false" customHeight="false" outlineLevel="0" collapsed="false">
      <c r="B1" s="1" t="s">
        <v>31</v>
      </c>
    </row>
    <row r="2" customFormat="false" ht="15" hidden="false" customHeight="false" outlineLevel="0" collapsed="false">
      <c r="B2" s="2" t="s">
        <v>32</v>
      </c>
    </row>
    <row r="4" customFormat="false" ht="15" hidden="false" customHeight="false" outlineLevel="0" collapsed="false">
      <c r="B4" s="5" t="s">
        <v>33</v>
      </c>
      <c r="C4" s="6"/>
      <c r="D4" s="6"/>
      <c r="E4" s="6"/>
    </row>
    <row r="5" customFormat="false" ht="15" hidden="false" customHeight="false" outlineLevel="0" collapsed="false">
      <c r="B5" s="3" t="s">
        <v>34</v>
      </c>
      <c r="C5" s="7" t="n">
        <v>400</v>
      </c>
      <c r="D5" s="2" t="s">
        <v>35</v>
      </c>
      <c r="E5" s="2" t="s">
        <v>36</v>
      </c>
    </row>
    <row r="6" customFormat="false" ht="15" hidden="false" customHeight="false" outlineLevel="0" collapsed="false">
      <c r="B6" s="3" t="s">
        <v>37</v>
      </c>
      <c r="C6" s="8" t="n">
        <v>0.7</v>
      </c>
      <c r="D6" s="2"/>
      <c r="E6" s="2" t="s">
        <v>38</v>
      </c>
    </row>
    <row r="7" customFormat="false" ht="15" hidden="false" customHeight="false" outlineLevel="0" collapsed="false">
      <c r="B7" s="3" t="s">
        <v>39</v>
      </c>
      <c r="C7" s="9" t="n">
        <v>4.7</v>
      </c>
      <c r="D7" s="2" t="s">
        <v>40</v>
      </c>
      <c r="E7" s="2"/>
    </row>
    <row r="8" customFormat="false" ht="15" hidden="false" customHeight="false" outlineLevel="0" collapsed="false">
      <c r="B8" s="3" t="s">
        <v>41</v>
      </c>
      <c r="C8" s="7" t="n">
        <v>70000</v>
      </c>
      <c r="D8" s="2" t="s">
        <v>42</v>
      </c>
      <c r="E8" s="2" t="s">
        <v>43</v>
      </c>
    </row>
    <row r="9" customFormat="false" ht="15" hidden="false" customHeight="false" outlineLevel="0" collapsed="false">
      <c r="B9" s="3" t="s">
        <v>44</v>
      </c>
      <c r="C9" s="7" t="n">
        <v>18</v>
      </c>
      <c r="D9" s="2" t="s">
        <v>45</v>
      </c>
      <c r="E9" s="2" t="s">
        <v>46</v>
      </c>
    </row>
    <row r="10" customFormat="false" ht="15" hidden="false" customHeight="false" outlineLevel="0" collapsed="false">
      <c r="B10" s="3" t="s">
        <v>47</v>
      </c>
      <c r="C10" s="7" t="n">
        <v>250</v>
      </c>
      <c r="D10" s="2" t="s">
        <v>48</v>
      </c>
      <c r="E10" s="2"/>
    </row>
    <row r="11" customFormat="false" ht="15" hidden="false" customHeight="false" outlineLevel="0" collapsed="false">
      <c r="B11" s="3" t="s">
        <v>49</v>
      </c>
      <c r="C11" s="10" t="n">
        <v>1500</v>
      </c>
      <c r="D11" s="2" t="s">
        <v>50</v>
      </c>
      <c r="E11" s="2" t="s">
        <v>51</v>
      </c>
    </row>
    <row r="13" customFormat="false" ht="15" hidden="false" customHeight="false" outlineLevel="0" collapsed="false">
      <c r="B13" s="5" t="s">
        <v>52</v>
      </c>
      <c r="C13" s="6"/>
      <c r="D13" s="6"/>
      <c r="E13" s="6"/>
    </row>
    <row r="14" customFormat="false" ht="15" hidden="false" customHeight="false" outlineLevel="0" collapsed="false">
      <c r="B14" s="3" t="s">
        <v>53</v>
      </c>
      <c r="C14" s="7" t="n">
        <v>750</v>
      </c>
      <c r="D14" s="2" t="s">
        <v>54</v>
      </c>
      <c r="E14" s="2" t="s">
        <v>55</v>
      </c>
    </row>
    <row r="15" customFormat="false" ht="15" hidden="false" customHeight="false" outlineLevel="0" collapsed="false">
      <c r="B15" s="3" t="s">
        <v>56</v>
      </c>
      <c r="C15" s="11" t="n">
        <v>125000</v>
      </c>
      <c r="D15" s="2" t="s">
        <v>57</v>
      </c>
      <c r="E15" s="2" t="s">
        <v>58</v>
      </c>
    </row>
    <row r="16" customFormat="false" ht="15" hidden="false" customHeight="false" outlineLevel="0" collapsed="false">
      <c r="B16" s="3" t="s">
        <v>59</v>
      </c>
      <c r="C16" s="7" t="n">
        <v>2080</v>
      </c>
      <c r="D16" s="2" t="s">
        <v>60</v>
      </c>
      <c r="E16" s="2"/>
    </row>
    <row r="17" customFormat="false" ht="15" hidden="false" customHeight="false" outlineLevel="0" collapsed="false">
      <c r="B17" s="3" t="s">
        <v>61</v>
      </c>
      <c r="C17" s="7" t="n">
        <v>90</v>
      </c>
      <c r="D17" s="2" t="s">
        <v>54</v>
      </c>
      <c r="E17" s="2" t="s">
        <v>62</v>
      </c>
    </row>
    <row r="18" customFormat="false" ht="15" hidden="false" customHeight="false" outlineLevel="0" collapsed="false">
      <c r="B18" s="3" t="s">
        <v>63</v>
      </c>
      <c r="C18" s="11" t="n">
        <v>400000</v>
      </c>
      <c r="D18" s="2" t="s">
        <v>57</v>
      </c>
      <c r="E18" s="2" t="s">
        <v>64</v>
      </c>
    </row>
    <row r="19" customFormat="false" ht="15" hidden="false" customHeight="false" outlineLevel="0" collapsed="false">
      <c r="B19" s="3" t="s">
        <v>65</v>
      </c>
      <c r="C19" s="7" t="n">
        <v>220</v>
      </c>
      <c r="D19" s="2" t="s">
        <v>40</v>
      </c>
      <c r="E19" s="2"/>
    </row>
    <row r="20" customFormat="false" ht="15" hidden="false" customHeight="false" outlineLevel="0" collapsed="false">
      <c r="B20" s="3" t="s">
        <v>66</v>
      </c>
      <c r="C20" s="7" t="n">
        <v>60</v>
      </c>
      <c r="D20" s="2" t="s">
        <v>54</v>
      </c>
      <c r="E20" s="2"/>
    </row>
    <row r="21" customFormat="false" ht="15" hidden="false" customHeight="false" outlineLevel="0" collapsed="false">
      <c r="B21" s="3" t="s">
        <v>67</v>
      </c>
      <c r="C21" s="11" t="n">
        <v>45000</v>
      </c>
      <c r="D21" s="2" t="s">
        <v>57</v>
      </c>
      <c r="E21" s="2"/>
    </row>
    <row r="22" customFormat="false" ht="15" hidden="false" customHeight="false" outlineLevel="0" collapsed="false">
      <c r="B22" s="3" t="s">
        <v>68</v>
      </c>
      <c r="C22" s="11" t="n">
        <v>22</v>
      </c>
      <c r="D22" s="2" t="s">
        <v>69</v>
      </c>
      <c r="E22" s="2"/>
    </row>
    <row r="24" customFormat="false" ht="15" hidden="false" customHeight="false" outlineLevel="0" collapsed="false">
      <c r="B24" s="5" t="s">
        <v>70</v>
      </c>
      <c r="C24" s="6"/>
      <c r="D24" s="6"/>
      <c r="E24" s="6"/>
    </row>
    <row r="25" customFormat="false" ht="15" hidden="false" customHeight="false" outlineLevel="0" collapsed="false">
      <c r="B25" s="3" t="s">
        <v>71</v>
      </c>
      <c r="C25" s="12" t="n">
        <v>15</v>
      </c>
      <c r="D25" s="2" t="s">
        <v>72</v>
      </c>
      <c r="E25" s="2" t="s">
        <v>73</v>
      </c>
    </row>
    <row r="26" customFormat="false" ht="15" hidden="false" customHeight="false" outlineLevel="0" collapsed="false">
      <c r="B26" s="3" t="s">
        <v>74</v>
      </c>
      <c r="C26" s="13" t="n">
        <v>0.6</v>
      </c>
      <c r="D26" s="2"/>
      <c r="E26" s="2" t="s">
        <v>75</v>
      </c>
    </row>
    <row r="27" customFormat="false" ht="15" hidden="false" customHeight="false" outlineLevel="0" collapsed="false">
      <c r="B27" s="3" t="s">
        <v>76</v>
      </c>
      <c r="C27" s="11" t="n">
        <v>180000</v>
      </c>
      <c r="D27" s="2" t="s">
        <v>50</v>
      </c>
      <c r="E27" s="2" t="s">
        <v>77</v>
      </c>
    </row>
    <row r="28" customFormat="false" ht="15" hidden="false" customHeight="false" outlineLevel="0" collapsed="false">
      <c r="B28" s="3" t="s">
        <v>78</v>
      </c>
      <c r="C28" s="11" t="n">
        <v>250000</v>
      </c>
      <c r="D28" s="2" t="s">
        <v>50</v>
      </c>
      <c r="E28" s="2" t="s">
        <v>79</v>
      </c>
    </row>
    <row r="30" customFormat="false" ht="15" hidden="false" customHeight="false" outlineLevel="0" collapsed="false">
      <c r="B30" s="5" t="s">
        <v>80</v>
      </c>
      <c r="C30" s="6"/>
      <c r="D30" s="6"/>
      <c r="E30" s="6"/>
    </row>
    <row r="31" customFormat="false" ht="15" hidden="false" customHeight="false" outlineLevel="0" collapsed="false">
      <c r="B31" s="3" t="s">
        <v>81</v>
      </c>
      <c r="C31" s="12" t="n">
        <v>20</v>
      </c>
      <c r="D31" s="2" t="s">
        <v>72</v>
      </c>
      <c r="E31" s="2" t="s">
        <v>82</v>
      </c>
    </row>
    <row r="32" customFormat="false" ht="15" hidden="false" customHeight="false" outlineLevel="0" collapsed="false">
      <c r="B32" s="3" t="s">
        <v>83</v>
      </c>
      <c r="C32" s="7" t="n">
        <v>8</v>
      </c>
      <c r="D32" s="2" t="s">
        <v>72</v>
      </c>
      <c r="E32" s="2"/>
    </row>
    <row r="33" customFormat="false" ht="15" hidden="false" customHeight="false" outlineLevel="0" collapsed="false">
      <c r="B33" s="3" t="s">
        <v>84</v>
      </c>
      <c r="C33" s="13" t="n">
        <v>0.005</v>
      </c>
      <c r="D33" s="2"/>
      <c r="E33" s="2" t="s">
        <v>85</v>
      </c>
    </row>
    <row r="34" customFormat="false" ht="15" hidden="false" customHeight="false" outlineLevel="0" collapsed="false">
      <c r="B34" s="3" t="s">
        <v>86</v>
      </c>
      <c r="C34" s="11" t="n">
        <v>400</v>
      </c>
      <c r="D34" s="2" t="s">
        <v>50</v>
      </c>
      <c r="E34" s="2"/>
    </row>
    <row r="36" customFormat="false" ht="15" hidden="false" customHeight="false" outlineLevel="0" collapsed="false">
      <c r="B36" s="5" t="s">
        <v>87</v>
      </c>
      <c r="C36" s="6"/>
      <c r="D36" s="6"/>
      <c r="E36" s="6"/>
    </row>
    <row r="37" customFormat="false" ht="15" hidden="false" customHeight="false" outlineLevel="0" collapsed="false">
      <c r="B37" s="3" t="s">
        <v>88</v>
      </c>
      <c r="C37" s="13" t="n">
        <v>0.65</v>
      </c>
      <c r="D37" s="2"/>
      <c r="E37" s="2" t="s">
        <v>89</v>
      </c>
    </row>
    <row r="38" customFormat="false" ht="15" hidden="false" customHeight="false" outlineLevel="0" collapsed="false">
      <c r="B38" s="3" t="s">
        <v>90</v>
      </c>
      <c r="C38" s="8" t="n">
        <v>0.8</v>
      </c>
      <c r="D38" s="2"/>
      <c r="E38" s="2"/>
    </row>
    <row r="39" customFormat="false" ht="15" hidden="false" customHeight="false" outlineLevel="0" collapsed="false">
      <c r="B39" s="3" t="s">
        <v>91</v>
      </c>
      <c r="C39" s="7" t="n">
        <v>20</v>
      </c>
      <c r="D39" s="2" t="s">
        <v>72</v>
      </c>
      <c r="E39" s="2"/>
    </row>
    <row r="40" customFormat="false" ht="15" hidden="false" customHeight="false" outlineLevel="0" collapsed="false">
      <c r="B40" s="3" t="s">
        <v>92</v>
      </c>
      <c r="C40" s="11" t="n">
        <v>40</v>
      </c>
      <c r="D40" s="2" t="s">
        <v>93</v>
      </c>
      <c r="E40" s="2" t="s">
        <v>94</v>
      </c>
    </row>
    <row r="41" customFormat="false" ht="15" hidden="false" customHeight="false" outlineLevel="0" collapsed="false">
      <c r="B41" s="3" t="s">
        <v>95</v>
      </c>
      <c r="C41" s="7" t="n">
        <v>50</v>
      </c>
      <c r="D41" s="2" t="s">
        <v>48</v>
      </c>
      <c r="E41" s="2"/>
    </row>
    <row r="42" customFormat="false" ht="15" hidden="false" customHeight="false" outlineLevel="0" collapsed="false">
      <c r="B42" s="3" t="s">
        <v>96</v>
      </c>
      <c r="C42" s="11" t="n">
        <v>4000</v>
      </c>
      <c r="D42" s="2" t="s">
        <v>50</v>
      </c>
      <c r="E42" s="2"/>
    </row>
    <row r="44" customFormat="false" ht="15" hidden="false" customHeight="false" outlineLevel="0" collapsed="false">
      <c r="B44" s="5" t="s">
        <v>97</v>
      </c>
      <c r="C44" s="6"/>
      <c r="D44" s="6"/>
      <c r="E44" s="6"/>
    </row>
    <row r="45" customFormat="false" ht="15" hidden="false" customHeight="false" outlineLevel="0" collapsed="false">
      <c r="B45" s="3" t="s">
        <v>98</v>
      </c>
      <c r="C45" s="12" t="n">
        <v>45</v>
      </c>
      <c r="D45" s="2" t="s">
        <v>72</v>
      </c>
      <c r="E45" s="2" t="s">
        <v>99</v>
      </c>
    </row>
    <row r="46" customFormat="false" ht="15" hidden="false" customHeight="false" outlineLevel="0" collapsed="false">
      <c r="B46" s="3" t="s">
        <v>100</v>
      </c>
      <c r="C46" s="13" t="n">
        <v>0.4</v>
      </c>
      <c r="D46" s="2"/>
      <c r="E46" s="2" t="s">
        <v>101</v>
      </c>
    </row>
    <row r="47" customFormat="false" ht="15" hidden="false" customHeight="false" outlineLevel="0" collapsed="false">
      <c r="B47" s="3" t="s">
        <v>102</v>
      </c>
      <c r="C47" s="9" t="n">
        <v>0.5</v>
      </c>
      <c r="D47" s="2" t="s">
        <v>54</v>
      </c>
      <c r="E47" s="2"/>
    </row>
    <row r="48" customFormat="false" ht="15" hidden="false" customHeight="false" outlineLevel="0" collapsed="false">
      <c r="B48" s="3" t="s">
        <v>103</v>
      </c>
      <c r="C48" s="11" t="n">
        <v>500000</v>
      </c>
      <c r="D48" s="2" t="s">
        <v>50</v>
      </c>
      <c r="E48" s="2" t="s">
        <v>104</v>
      </c>
    </row>
    <row r="49" customFormat="false" ht="15" hidden="false" customHeight="false" outlineLevel="0" collapsed="false">
      <c r="B49" s="3" t="s">
        <v>105</v>
      </c>
      <c r="C49" s="11" t="n">
        <v>300</v>
      </c>
      <c r="D49" s="2" t="s">
        <v>106</v>
      </c>
      <c r="E49" s="2" t="s">
        <v>107</v>
      </c>
    </row>
    <row r="51" customFormat="false" ht="15" hidden="false" customHeight="false" outlineLevel="0" collapsed="false">
      <c r="B51" s="5" t="s">
        <v>108</v>
      </c>
      <c r="C51" s="6"/>
      <c r="D51" s="6"/>
      <c r="E51" s="6"/>
    </row>
    <row r="52" customFormat="false" ht="15" hidden="false" customHeight="false" outlineLevel="0" collapsed="false">
      <c r="B52" s="3" t="s">
        <v>109</v>
      </c>
      <c r="C52" s="7" t="n">
        <v>8</v>
      </c>
      <c r="D52" s="2"/>
      <c r="E52" s="2"/>
    </row>
    <row r="53" customFormat="false" ht="15" hidden="false" customHeight="false" outlineLevel="0" collapsed="false">
      <c r="B53" s="3" t="s">
        <v>110</v>
      </c>
      <c r="C53" s="7" t="n">
        <v>4</v>
      </c>
      <c r="D53" s="2" t="s">
        <v>72</v>
      </c>
      <c r="E53" s="2" t="s">
        <v>111</v>
      </c>
    </row>
    <row r="54" customFormat="false" ht="15" hidden="false" customHeight="false" outlineLevel="0" collapsed="false">
      <c r="B54" s="3" t="s">
        <v>112</v>
      </c>
      <c r="C54" s="8" t="n">
        <v>0.25</v>
      </c>
      <c r="D54" s="2"/>
      <c r="E54" s="2" t="s">
        <v>113</v>
      </c>
    </row>
    <row r="55" customFormat="false" ht="15" hidden="false" customHeight="false" outlineLevel="0" collapsed="false">
      <c r="B55" s="3" t="s">
        <v>114</v>
      </c>
      <c r="C55" s="13" t="n">
        <v>0.5</v>
      </c>
      <c r="D55" s="2"/>
      <c r="E55" s="2"/>
    </row>
    <row r="57" customFormat="false" ht="15" hidden="false" customHeight="false" outlineLevel="0" collapsed="false">
      <c r="B57" s="5" t="s">
        <v>115</v>
      </c>
      <c r="C57" s="6"/>
      <c r="D57" s="6"/>
      <c r="E57" s="6"/>
    </row>
    <row r="58" customFormat="false" ht="15" hidden="false" customHeight="false" outlineLevel="0" collapsed="false">
      <c r="B58" s="3" t="s">
        <v>116</v>
      </c>
      <c r="C58" s="12" t="n">
        <v>15</v>
      </c>
      <c r="D58" s="2"/>
      <c r="E58" s="2"/>
    </row>
    <row r="59" customFormat="false" ht="15" hidden="false" customHeight="false" outlineLevel="0" collapsed="false">
      <c r="B59" s="3" t="s">
        <v>117</v>
      </c>
      <c r="C59" s="8" t="n">
        <v>0.5</v>
      </c>
      <c r="D59" s="2"/>
      <c r="E59" s="2" t="s">
        <v>118</v>
      </c>
    </row>
    <row r="60" customFormat="false" ht="15" hidden="false" customHeight="false" outlineLevel="0" collapsed="false">
      <c r="B60" s="3" t="s">
        <v>119</v>
      </c>
      <c r="C60" s="7" t="n">
        <v>3</v>
      </c>
      <c r="D60" s="2" t="s">
        <v>54</v>
      </c>
      <c r="E60" s="2" t="s">
        <v>120</v>
      </c>
    </row>
    <row r="61" customFormat="false" ht="15" hidden="false" customHeight="false" outlineLevel="0" collapsed="false">
      <c r="B61" s="3" t="s">
        <v>121</v>
      </c>
      <c r="C61" s="11" t="n">
        <v>55000</v>
      </c>
      <c r="D61" s="2" t="s">
        <v>57</v>
      </c>
      <c r="E61" s="2"/>
    </row>
    <row r="62" customFormat="false" ht="15" hidden="false" customHeight="false" outlineLevel="0" collapsed="false">
      <c r="B62" s="3" t="s">
        <v>122</v>
      </c>
      <c r="C62" s="7" t="n">
        <v>20</v>
      </c>
      <c r="D62" s="2"/>
      <c r="E62" s="2"/>
    </row>
    <row r="63" customFormat="false" ht="15" hidden="false" customHeight="false" outlineLevel="0" collapsed="false">
      <c r="B63" s="3" t="s">
        <v>123</v>
      </c>
      <c r="C63" s="11" t="n">
        <v>20000</v>
      </c>
      <c r="D63" s="2" t="s">
        <v>50</v>
      </c>
      <c r="E63" s="2" t="s">
        <v>124</v>
      </c>
    </row>
    <row r="65" customFormat="false" ht="15" hidden="false" customHeight="false" outlineLevel="0" collapsed="false">
      <c r="B65" s="5" t="s">
        <v>125</v>
      </c>
      <c r="C65" s="6"/>
      <c r="D65" s="6"/>
      <c r="E65" s="6"/>
    </row>
    <row r="66" customFormat="false" ht="15" hidden="false" customHeight="false" outlineLevel="0" collapsed="false">
      <c r="B66" s="3" t="s">
        <v>126</v>
      </c>
      <c r="C66" s="7" t="n">
        <v>600</v>
      </c>
      <c r="D66" s="2" t="s">
        <v>127</v>
      </c>
      <c r="E66" s="2" t="s">
        <v>128</v>
      </c>
    </row>
    <row r="67" customFormat="false" ht="15" hidden="false" customHeight="false" outlineLevel="0" collapsed="false">
      <c r="B67" s="3" t="s">
        <v>129</v>
      </c>
      <c r="C67" s="10" t="n">
        <v>700</v>
      </c>
      <c r="D67" s="2" t="s">
        <v>50</v>
      </c>
      <c r="E67" s="2" t="s">
        <v>130</v>
      </c>
    </row>
    <row r="68" customFormat="false" ht="15" hidden="false" customHeight="false" outlineLevel="0" collapsed="false">
      <c r="B68" s="3" t="s">
        <v>131</v>
      </c>
      <c r="C68" s="11" t="n">
        <v>325000</v>
      </c>
      <c r="D68" s="2" t="s">
        <v>50</v>
      </c>
      <c r="E68" s="2" t="s">
        <v>132</v>
      </c>
    </row>
    <row r="69" customFormat="false" ht="15" hidden="false" customHeight="false" outlineLevel="0" collapsed="false">
      <c r="B69" s="3" t="s">
        <v>133</v>
      </c>
      <c r="C69" s="11" t="n">
        <v>400000</v>
      </c>
      <c r="D69" s="2" t="s">
        <v>50</v>
      </c>
      <c r="E69" s="2" t="s">
        <v>134</v>
      </c>
    </row>
    <row r="70" customFormat="false" ht="15" hidden="false" customHeight="false" outlineLevel="0" collapsed="false">
      <c r="B70" s="3" t="s">
        <v>135</v>
      </c>
      <c r="C70" s="11" t="n">
        <v>700000</v>
      </c>
      <c r="D70" s="2" t="s">
        <v>50</v>
      </c>
      <c r="E70" s="2" t="s">
        <v>136</v>
      </c>
    </row>
    <row r="71" customFormat="false" ht="15" hidden="false" customHeight="false" outlineLevel="0" collapsed="false">
      <c r="B71" s="3" t="s">
        <v>137</v>
      </c>
      <c r="C71" s="11" t="n">
        <v>800000</v>
      </c>
      <c r="D71" s="2" t="s">
        <v>50</v>
      </c>
      <c r="E71" s="2" t="s">
        <v>138</v>
      </c>
    </row>
    <row r="72" customFormat="false" ht="15" hidden="false" customHeight="false" outlineLevel="0" collapsed="false">
      <c r="B72" s="3" t="s">
        <v>139</v>
      </c>
      <c r="C72" s="7" t="n">
        <v>100</v>
      </c>
      <c r="D72" s="2" t="s">
        <v>127</v>
      </c>
      <c r="E72" s="2" t="s">
        <v>140</v>
      </c>
    </row>
    <row r="73" customFormat="false" ht="15" hidden="false" customHeight="false" outlineLevel="0" collapsed="false">
      <c r="B73" s="3" t="s">
        <v>141</v>
      </c>
      <c r="C73" s="11" t="n">
        <v>120000</v>
      </c>
      <c r="D73" s="2" t="s">
        <v>50</v>
      </c>
      <c r="E73" s="2"/>
    </row>
    <row r="74" customFormat="false" ht="15" hidden="false" customHeight="false" outlineLevel="0" collapsed="false">
      <c r="B74" s="3" t="s">
        <v>142</v>
      </c>
      <c r="C74" s="11" t="n">
        <v>150000</v>
      </c>
      <c r="D74" s="2" t="s">
        <v>50</v>
      </c>
      <c r="E74" s="2"/>
    </row>
    <row r="75" customFormat="false" ht="15" hidden="false" customHeight="false" outlineLevel="0" collapsed="false">
      <c r="B75" s="3" t="s">
        <v>143</v>
      </c>
      <c r="C75" s="11" t="n">
        <v>250000</v>
      </c>
      <c r="D75" s="2" t="s">
        <v>50</v>
      </c>
      <c r="E75" s="2"/>
    </row>
    <row r="77" customFormat="false" ht="15" hidden="false" customHeight="false" outlineLevel="0" collapsed="false">
      <c r="B77" s="5" t="s">
        <v>144</v>
      </c>
      <c r="C77" s="6"/>
      <c r="D77" s="6"/>
      <c r="E77" s="6"/>
    </row>
    <row r="78" customFormat="false" ht="15" hidden="false" customHeight="false" outlineLevel="0" collapsed="false">
      <c r="B78" s="3" t="s">
        <v>145</v>
      </c>
      <c r="C78" s="13" t="n">
        <v>0.15</v>
      </c>
      <c r="D78" s="2"/>
      <c r="E78" s="2"/>
    </row>
    <row r="79" customFormat="false" ht="15" hidden="false" customHeight="false" outlineLevel="0" collapsed="false">
      <c r="B79" s="3" t="s">
        <v>146</v>
      </c>
      <c r="C79" s="7" t="n">
        <v>2</v>
      </c>
      <c r="D79" s="2" t="s">
        <v>54</v>
      </c>
      <c r="E79" s="2"/>
    </row>
    <row r="80" customFormat="false" ht="15" hidden="false" customHeight="false" outlineLevel="0" collapsed="false">
      <c r="B80" s="3" t="s">
        <v>147</v>
      </c>
      <c r="C80" s="11" t="n">
        <v>140000</v>
      </c>
      <c r="D80" s="2" t="s">
        <v>57</v>
      </c>
      <c r="E80" s="2"/>
    </row>
    <row r="81" customFormat="false" ht="15" hidden="false" customHeight="false" outlineLevel="0" collapsed="false">
      <c r="B81" s="3" t="s">
        <v>148</v>
      </c>
      <c r="C81" s="11" t="n">
        <v>25000</v>
      </c>
      <c r="D81" s="2" t="s">
        <v>50</v>
      </c>
      <c r="E81" s="2" t="s">
        <v>149</v>
      </c>
    </row>
    <row r="82" customFormat="false" ht="15" hidden="false" customHeight="false" outlineLevel="0" collapsed="false">
      <c r="B82" s="3" t="s">
        <v>150</v>
      </c>
      <c r="C82" s="11" t="n">
        <v>100000</v>
      </c>
      <c r="D82" s="2" t="s">
        <v>50</v>
      </c>
      <c r="E82" s="2"/>
    </row>
    <row r="84" customFormat="false" ht="15" hidden="false" customHeight="false" outlineLevel="0" collapsed="false">
      <c r="B84" s="5" t="s">
        <v>151</v>
      </c>
      <c r="C84" s="6"/>
      <c r="D84" s="6"/>
      <c r="E84" s="6"/>
    </row>
    <row r="85" customFormat="false" ht="15" hidden="false" customHeight="false" outlineLevel="0" collapsed="false">
      <c r="B85" s="3" t="s">
        <v>152</v>
      </c>
      <c r="C85" s="8" t="n">
        <v>0</v>
      </c>
      <c r="D85" s="2"/>
      <c r="E85" s="2" t="s">
        <v>153</v>
      </c>
    </row>
    <row r="86" customFormat="false" ht="15" hidden="false" customHeight="false" outlineLevel="0" collapsed="false">
      <c r="B86" s="3" t="s">
        <v>154</v>
      </c>
      <c r="C86" s="13" t="n">
        <v>0.3</v>
      </c>
      <c r="D86" s="2"/>
      <c r="E86" s="2"/>
    </row>
    <row r="87" customFormat="false" ht="15" hidden="false" customHeight="false" outlineLevel="0" collapsed="false">
      <c r="B87" s="3" t="s">
        <v>155</v>
      </c>
      <c r="C87" s="13" t="n">
        <v>0.8</v>
      </c>
      <c r="D87" s="2"/>
      <c r="E87" s="2"/>
    </row>
    <row r="88" customFormat="false" ht="15" hidden="false" customHeight="false" outlineLevel="0" collapsed="false">
      <c r="B88" s="3" t="s">
        <v>156</v>
      </c>
      <c r="C88" s="13" t="n">
        <v>1</v>
      </c>
      <c r="D88" s="2"/>
      <c r="E88" s="2"/>
    </row>
    <row r="89" customFormat="false" ht="15" hidden="false" customHeight="false" outlineLevel="0" collapsed="false">
      <c r="B89" s="3" t="s">
        <v>157</v>
      </c>
      <c r="C89" s="13" t="n">
        <v>0.08</v>
      </c>
      <c r="D89" s="2"/>
      <c r="E89" s="2"/>
    </row>
    <row r="90" customFormat="false" ht="15" hidden="false" customHeight="false" outlineLevel="0" collapsed="false">
      <c r="B90" s="3" t="s">
        <v>158</v>
      </c>
      <c r="C90" s="7" t="n">
        <v>5</v>
      </c>
      <c r="D90" s="2" t="s">
        <v>159</v>
      </c>
      <c r="E9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48"/>
  </cols>
  <sheetData>
    <row r="1" customFormat="false" ht="17.35" hidden="false" customHeight="false" outlineLevel="0" collapsed="false">
      <c r="B1" s="1" t="s">
        <v>160</v>
      </c>
    </row>
    <row r="2" customFormat="false" ht="15" hidden="false" customHeight="false" outlineLevel="0" collapsed="false">
      <c r="B2" s="2" t="s">
        <v>161</v>
      </c>
    </row>
    <row r="4" customFormat="false" ht="15" hidden="false" customHeight="false" outlineLevel="0" collapsed="false">
      <c r="B4" s="14" t="s">
        <v>162</v>
      </c>
      <c r="C4" s="15" t="s">
        <v>163</v>
      </c>
      <c r="D4" s="15" t="s">
        <v>164</v>
      </c>
      <c r="E4" s="15" t="s">
        <v>165</v>
      </c>
      <c r="F4" s="15" t="s">
        <v>166</v>
      </c>
    </row>
    <row r="5" customFormat="false" ht="15" hidden="false" customHeight="false" outlineLevel="0" collapsed="false">
      <c r="B5" s="16" t="s">
        <v>167</v>
      </c>
      <c r="C5" s="17"/>
      <c r="D5" s="17"/>
      <c r="E5" s="17"/>
      <c r="F5" s="17"/>
    </row>
    <row r="6" customFormat="false" ht="15" hidden="false" customHeight="false" outlineLevel="0" collapsed="false">
      <c r="B6" s="3" t="s">
        <v>168</v>
      </c>
      <c r="C6" s="18" t="n">
        <f aca="false">Assumptions!C14*Assumptions!C16*(Assumptions!C25/(12*60))*Assumptions!C26*(Assumptions!C15/Assumptions!C16)</f>
        <v>1171875</v>
      </c>
      <c r="D6" s="19" t="n">
        <f aca="false">Assumptions!C14*(Assumptions!C25/(12*60))*Assumptions!C26</f>
        <v>9.375</v>
      </c>
      <c r="E6" s="3" t="s">
        <v>169</v>
      </c>
      <c r="F6" s="2" t="s">
        <v>170</v>
      </c>
    </row>
    <row r="7" customFormat="false" ht="15" hidden="false" customHeight="false" outlineLevel="0" collapsed="false">
      <c r="B7" s="3" t="s">
        <v>171</v>
      </c>
      <c r="C7" s="18" t="n">
        <f aca="false">Assumptions!C27</f>
        <v>180000</v>
      </c>
      <c r="E7" s="3" t="s">
        <v>172</v>
      </c>
      <c r="F7" s="2" t="s">
        <v>173</v>
      </c>
    </row>
    <row r="8" customFormat="false" ht="15" hidden="false" customHeight="false" outlineLevel="0" collapsed="false">
      <c r="B8" s="3" t="s">
        <v>174</v>
      </c>
      <c r="C8" s="18" t="n">
        <f aca="false">Assumptions!C28</f>
        <v>250000</v>
      </c>
      <c r="E8" s="3" t="s">
        <v>175</v>
      </c>
      <c r="F8" s="2" t="s">
        <v>176</v>
      </c>
    </row>
    <row r="9" customFormat="false" ht="15" hidden="false" customHeight="false" outlineLevel="0" collapsed="false">
      <c r="B9" s="20" t="s">
        <v>177</v>
      </c>
      <c r="C9" s="21" t="n">
        <f aca="false">SUM(C6:C8)</f>
        <v>1601875</v>
      </c>
      <c r="D9" s="22" t="n">
        <f aca="false">D6</f>
        <v>9.375</v>
      </c>
    </row>
    <row r="11" customFormat="false" ht="15" hidden="false" customHeight="false" outlineLevel="0" collapsed="false">
      <c r="B11" s="16" t="s">
        <v>178</v>
      </c>
      <c r="C11" s="17"/>
      <c r="D11" s="17"/>
      <c r="E11" s="17"/>
      <c r="F11" s="17"/>
    </row>
    <row r="12" customFormat="false" ht="15" hidden="false" customHeight="false" outlineLevel="0" collapsed="false">
      <c r="B12" s="3" t="s">
        <v>179</v>
      </c>
      <c r="C12" s="18" t="n">
        <f aca="false">((Assumptions!C5*365*Assumptions!C6)/Assumptions!C7)*(Assumptions!C31/(24*60))*Assumptions!C11/Assumptions!C7</f>
        <v>96385.9966802475</v>
      </c>
      <c r="F12" s="2" t="s">
        <v>180</v>
      </c>
    </row>
    <row r="13" customFormat="false" ht="15" hidden="false" customHeight="false" outlineLevel="0" collapsed="false">
      <c r="B13" s="3" t="s">
        <v>181</v>
      </c>
      <c r="C13" s="18" t="n">
        <f aca="false">Assumptions!C8*Assumptions!C33*Assumptions!C34</f>
        <v>140000</v>
      </c>
    </row>
    <row r="14" customFormat="false" ht="15" hidden="false" customHeight="false" outlineLevel="0" collapsed="false">
      <c r="B14" s="3" t="s">
        <v>182</v>
      </c>
      <c r="C14" s="18" t="n">
        <f aca="false">Assumptions!C20*Assumptions!C16*(Assumptions!C32/(8*60))*(Assumptions!C21/Assumptions!C16)</f>
        <v>45000</v>
      </c>
      <c r="D14" s="19" t="n">
        <f aca="false">Assumptions!C20*(Assumptions!C32/(8*60))</f>
        <v>1</v>
      </c>
      <c r="E14" s="3" t="s">
        <v>169</v>
      </c>
    </row>
    <row r="15" customFormat="false" ht="15" hidden="false" customHeight="false" outlineLevel="0" collapsed="false">
      <c r="B15" s="20" t="s">
        <v>183</v>
      </c>
      <c r="C15" s="21" t="n">
        <f aca="false">SUM(C12:C14)</f>
        <v>281385.996680248</v>
      </c>
      <c r="D15" s="22" t="n">
        <f aca="false">D14</f>
        <v>1</v>
      </c>
    </row>
    <row r="17" customFormat="false" ht="15" hidden="false" customHeight="false" outlineLevel="0" collapsed="false">
      <c r="B17" s="16" t="s">
        <v>184</v>
      </c>
      <c r="C17" s="17"/>
      <c r="D17" s="17"/>
      <c r="E17" s="17"/>
      <c r="F17" s="17"/>
    </row>
    <row r="18" customFormat="false" ht="15" hidden="false" customHeight="false" outlineLevel="0" collapsed="false">
      <c r="B18" s="3" t="s">
        <v>185</v>
      </c>
      <c r="C18" s="18" t="n">
        <f aca="false">Assumptions!C9*Assumptions!C10*(Assumptions!C38-Assumptions!C37)*Assumptions!C39*Assumptions!C40</f>
        <v>540000</v>
      </c>
      <c r="F18" s="2" t="s">
        <v>186</v>
      </c>
    </row>
    <row r="19" customFormat="false" ht="15" hidden="false" customHeight="false" outlineLevel="0" collapsed="false">
      <c r="B19" s="3" t="s">
        <v>95</v>
      </c>
      <c r="C19" s="18" t="n">
        <f aca="false">Assumptions!C41*Assumptions!C42</f>
        <v>200000</v>
      </c>
    </row>
    <row r="20" customFormat="false" ht="15" hidden="false" customHeight="false" outlineLevel="0" collapsed="false">
      <c r="B20" s="3" t="s">
        <v>187</v>
      </c>
      <c r="C20" s="18" t="n">
        <f aca="false">1.5*Assumptions!C15</f>
        <v>187500</v>
      </c>
      <c r="D20" s="19" t="n">
        <v>1.5</v>
      </c>
      <c r="E20" s="3" t="s">
        <v>169</v>
      </c>
      <c r="F20" s="2" t="s">
        <v>188</v>
      </c>
    </row>
    <row r="21" customFormat="false" ht="15" hidden="false" customHeight="false" outlineLevel="0" collapsed="false">
      <c r="B21" s="20" t="s">
        <v>189</v>
      </c>
      <c r="C21" s="21" t="n">
        <f aca="false">SUM(C18:C20)</f>
        <v>927500</v>
      </c>
      <c r="D21" s="22" t="n">
        <f aca="false">D20</f>
        <v>1.5</v>
      </c>
    </row>
    <row r="23" customFormat="false" ht="15" hidden="false" customHeight="false" outlineLevel="0" collapsed="false">
      <c r="B23" s="16" t="s">
        <v>190</v>
      </c>
      <c r="C23" s="17"/>
      <c r="D23" s="17"/>
      <c r="E23" s="17"/>
      <c r="F23" s="17"/>
    </row>
    <row r="24" customFormat="false" ht="15" hidden="false" customHeight="false" outlineLevel="0" collapsed="false">
      <c r="B24" s="3" t="s">
        <v>191</v>
      </c>
      <c r="C24" s="18" t="n">
        <f aca="false">Assumptions!C17*Assumptions!C19*(Assumptions!C45/60)*Assumptions!C46*(Assumptions!C18/(Assumptions!C19*8))</f>
        <v>1350000</v>
      </c>
      <c r="D24" s="19" t="n">
        <f aca="false">Assumptions!C17*(Assumptions!C45/(8*60))</f>
        <v>8.4375</v>
      </c>
      <c r="E24" s="3" t="s">
        <v>169</v>
      </c>
    </row>
    <row r="25" customFormat="false" ht="15" hidden="false" customHeight="false" outlineLevel="0" collapsed="false">
      <c r="B25" s="3" t="s">
        <v>192</v>
      </c>
      <c r="C25" s="18" t="n">
        <f aca="false">Assumptions!C47*Assumptions!C48</f>
        <v>250000</v>
      </c>
    </row>
    <row r="26" customFormat="false" ht="15" hidden="false" customHeight="false" outlineLevel="0" collapsed="false">
      <c r="B26" s="3" t="s">
        <v>193</v>
      </c>
      <c r="C26" s="18" t="n">
        <f aca="false">Assumptions!C17*Assumptions!C49*12</f>
        <v>324000</v>
      </c>
      <c r="E26" s="3" t="s">
        <v>172</v>
      </c>
      <c r="F26" s="2" t="s">
        <v>194</v>
      </c>
    </row>
    <row r="27" customFormat="false" ht="15" hidden="false" customHeight="false" outlineLevel="0" collapsed="false">
      <c r="B27" s="20" t="s">
        <v>195</v>
      </c>
      <c r="C27" s="21" t="n">
        <f aca="false">SUM(C24:C26)</f>
        <v>1924000</v>
      </c>
      <c r="D27" s="22" t="n">
        <f aca="false">D24</f>
        <v>8.4375</v>
      </c>
    </row>
    <row r="29" customFormat="false" ht="15" hidden="false" customHeight="false" outlineLevel="0" collapsed="false">
      <c r="B29" s="16" t="s">
        <v>196</v>
      </c>
      <c r="C29" s="17"/>
      <c r="D29" s="17"/>
      <c r="E29" s="17"/>
      <c r="F29" s="17"/>
    </row>
    <row r="30" customFormat="false" ht="15" hidden="false" customHeight="false" outlineLevel="0" collapsed="false">
      <c r="B30" s="3" t="s">
        <v>197</v>
      </c>
      <c r="C30" s="18" t="n">
        <f aca="false">(Assumptions!C5*Assumptions!C6)*Assumptions!C52*365*(Assumptions!C53/60)*Assumptions!C54*Assumptions!C55*(Assumptions!C15/Assumptions!C16)</f>
        <v>409455.128205128</v>
      </c>
      <c r="D30" s="19" t="n">
        <f aca="false">((Assumptions!C5*Assumptions!C6)*Assumptions!C52*365*(Assumptions!C53/60)*Assumptions!C54*Assumptions!C55)/Assumptions!C16</f>
        <v>3.27564102564103</v>
      </c>
      <c r="E30" s="3" t="s">
        <v>169</v>
      </c>
      <c r="F30" s="2" t="s">
        <v>198</v>
      </c>
    </row>
    <row r="31" customFormat="false" ht="15" hidden="false" customHeight="false" outlineLevel="0" collapsed="false">
      <c r="B31" s="20" t="s">
        <v>199</v>
      </c>
      <c r="C31" s="21" t="n">
        <f aca="false">C30</f>
        <v>409455.128205128</v>
      </c>
      <c r="D31" s="22" t="n">
        <f aca="false">D30</f>
        <v>3.27564102564103</v>
      </c>
    </row>
    <row r="33" customFormat="false" ht="15" hidden="false" customHeight="false" outlineLevel="0" collapsed="false">
      <c r="B33" s="16" t="s">
        <v>200</v>
      </c>
      <c r="C33" s="17"/>
      <c r="D33" s="17"/>
      <c r="E33" s="17"/>
      <c r="F33" s="17"/>
    </row>
    <row r="34" customFormat="false" ht="15" hidden="false" customHeight="false" outlineLevel="0" collapsed="false">
      <c r="B34" s="3" t="s">
        <v>201</v>
      </c>
      <c r="C34" s="18" t="n">
        <f aca="false">Assumptions!C58*24*365*Assumptions!C59*Assumptions!C22-Assumptions!C60*Assumptions!C61</f>
        <v>1280400</v>
      </c>
      <c r="D34" s="19" t="n">
        <f aca="false">(Assumptions!C58*24*365*Assumptions!C59)/Assumptions!C16-Assumptions!C60</f>
        <v>28.5865384615385</v>
      </c>
      <c r="E34" s="23" t="s">
        <v>202</v>
      </c>
      <c r="F34" s="2" t="s">
        <v>203</v>
      </c>
    </row>
    <row r="35" customFormat="false" ht="15" hidden="false" customHeight="false" outlineLevel="0" collapsed="false">
      <c r="B35" s="3" t="s">
        <v>204</v>
      </c>
      <c r="C35" s="18" t="n">
        <f aca="false">Assumptions!C62*Assumptions!C63</f>
        <v>400000</v>
      </c>
      <c r="F35" s="2" t="s">
        <v>205</v>
      </c>
    </row>
    <row r="36" customFormat="false" ht="15" hidden="false" customHeight="false" outlineLevel="0" collapsed="false">
      <c r="B36" s="20" t="s">
        <v>206</v>
      </c>
      <c r="C36" s="21" t="n">
        <f aca="false">SUM(C34:C35)</f>
        <v>1680400</v>
      </c>
      <c r="D36" s="22" t="n">
        <f aca="false">D34</f>
        <v>28.5865384615385</v>
      </c>
    </row>
    <row r="38" customFormat="false" ht="15" hidden="false" customHeight="false" outlineLevel="0" collapsed="false">
      <c r="B38" s="24" t="s">
        <v>207</v>
      </c>
      <c r="C38" s="25" t="n">
        <f aca="false">C9+C15+C21+C27+C31+C36</f>
        <v>6824616.12488538</v>
      </c>
      <c r="D38" s="26" t="n">
        <f aca="false">D9+D15+D21+D27+D31+D36</f>
        <v>52.1746794871795</v>
      </c>
      <c r="E38" s="17"/>
      <c r="F38" s="17"/>
    </row>
    <row r="39" customFormat="false" ht="15" hidden="false" customHeight="false" outlineLevel="0" collapsed="false">
      <c r="B39" s="3" t="s">
        <v>208</v>
      </c>
      <c r="C39" s="18" t="n">
        <f aca="false">C38-C36</f>
        <v>5144216.12488538</v>
      </c>
    </row>
    <row r="40" customFormat="false" ht="15" hidden="false" customHeight="false" outlineLevel="0" collapsed="false">
      <c r="B40" s="3" t="s">
        <v>209</v>
      </c>
      <c r="C40" s="18" t="n">
        <f aca="false">C36</f>
        <v>1680400</v>
      </c>
      <c r="D40" s="19" t="n">
        <f aca="false">D36</f>
        <v>28.5865384615385</v>
      </c>
    </row>
    <row r="41" customFormat="false" ht="15" hidden="false" customHeight="false" outlineLevel="0" collapsed="false">
      <c r="B41" s="20" t="s">
        <v>210</v>
      </c>
      <c r="C41" s="21" t="n">
        <f aca="false">C9+C15+C21</f>
        <v>2810760.99668025</v>
      </c>
      <c r="D41" s="22" t="n">
        <f aca="false">D9+D15+D21</f>
        <v>11.875</v>
      </c>
      <c r="F41" s="2" t="s">
        <v>211</v>
      </c>
    </row>
    <row r="43" customFormat="false" ht="15" hidden="false" customHeight="false" outlineLevel="0" collapsed="false">
      <c r="B43" s="4" t="s">
        <v>212</v>
      </c>
    </row>
    <row r="44" customFormat="false" ht="15" hidden="false" customHeight="false" outlineLevel="0" collapsed="false">
      <c r="B44" s="3" t="s">
        <v>213</v>
      </c>
      <c r="C44" s="21" t="n">
        <f aca="false">C36+(C38-C36)*(1-Assumptions!C85)</f>
        <v>6824616.12488538</v>
      </c>
      <c r="F44" s="2" t="s">
        <v>214</v>
      </c>
    </row>
    <row r="45" customFormat="false" ht="15" hidden="false" customHeight="false" outlineLevel="0" collapsed="false">
      <c r="B45" s="3" t="s">
        <v>215</v>
      </c>
      <c r="C45" s="21" t="n">
        <f aca="false">C41*(1-Assumptions!C85)</f>
        <v>2810760.99668025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50"/>
  </cols>
  <sheetData>
    <row r="1" customFormat="false" ht="17.35" hidden="false" customHeight="false" outlineLevel="0" collapsed="false">
      <c r="B1" s="1" t="s">
        <v>216</v>
      </c>
    </row>
    <row r="3" customFormat="false" ht="15" hidden="false" customHeight="false" outlineLevel="0" collapsed="false">
      <c r="B3" s="27" t="s">
        <v>217</v>
      </c>
      <c r="C3" s="28" t="s">
        <v>218</v>
      </c>
      <c r="D3" s="28" t="s">
        <v>219</v>
      </c>
      <c r="E3" s="28" t="s">
        <v>220</v>
      </c>
    </row>
    <row r="4" customFormat="false" ht="15" hidden="false" customHeight="false" outlineLevel="0" collapsed="false">
      <c r="B4" s="16" t="s">
        <v>221</v>
      </c>
      <c r="C4" s="17"/>
      <c r="D4" s="17"/>
      <c r="E4" s="17"/>
    </row>
    <row r="5" customFormat="false" ht="15" hidden="false" customHeight="false" outlineLevel="0" collapsed="false">
      <c r="B5" s="3" t="s">
        <v>222</v>
      </c>
      <c r="C5" s="18" t="n">
        <f aca="false">Assumptions!C66*Assumptions!C67</f>
        <v>420000</v>
      </c>
      <c r="D5" s="18" t="n">
        <f aca="false">Assumptions!C72*Assumptions!C67</f>
        <v>70000</v>
      </c>
      <c r="E5" s="2" t="s">
        <v>223</v>
      </c>
    </row>
    <row r="6" customFormat="false" ht="15" hidden="false" customHeight="false" outlineLevel="0" collapsed="false">
      <c r="B6" s="3" t="s">
        <v>224</v>
      </c>
      <c r="C6" s="18" t="n">
        <f aca="false">Assumptions!C68</f>
        <v>325000</v>
      </c>
      <c r="D6" s="18" t="n">
        <f aca="false">Assumptions!C73</f>
        <v>120000</v>
      </c>
      <c r="E6" s="2" t="s">
        <v>225</v>
      </c>
    </row>
    <row r="7" customFormat="false" ht="15" hidden="false" customHeight="false" outlineLevel="0" collapsed="false">
      <c r="B7" s="3" t="s">
        <v>226</v>
      </c>
      <c r="C7" s="18" t="n">
        <f aca="false">Assumptions!C69</f>
        <v>400000</v>
      </c>
      <c r="D7" s="18" t="n">
        <f aca="false">Assumptions!C74</f>
        <v>150000</v>
      </c>
      <c r="E7" s="2" t="s">
        <v>227</v>
      </c>
    </row>
    <row r="8" customFormat="false" ht="15" hidden="false" customHeight="false" outlineLevel="0" collapsed="false">
      <c r="B8" s="3" t="s">
        <v>228</v>
      </c>
      <c r="C8" s="18" t="n">
        <f aca="false">Assumptions!C70</f>
        <v>700000</v>
      </c>
      <c r="D8" s="18" t="n">
        <f aca="false">Assumptions!C75</f>
        <v>250000</v>
      </c>
      <c r="E8" s="2" t="s">
        <v>229</v>
      </c>
    </row>
    <row r="9" customFormat="false" ht="15" hidden="false" customHeight="false" outlineLevel="0" collapsed="false">
      <c r="B9" s="3" t="s">
        <v>230</v>
      </c>
      <c r="C9" s="18" t="n">
        <f aca="false">Assumptions!C71</f>
        <v>800000</v>
      </c>
      <c r="D9" s="18" t="n">
        <f aca="false">0</f>
        <v>0</v>
      </c>
      <c r="E9" s="2" t="s">
        <v>231</v>
      </c>
    </row>
    <row r="10" customFormat="false" ht="15" hidden="false" customHeight="false" outlineLevel="0" collapsed="false">
      <c r="B10" s="20" t="s">
        <v>232</v>
      </c>
      <c r="C10" s="21" t="n">
        <f aca="false">SUM(C5:C9)</f>
        <v>2645000</v>
      </c>
      <c r="D10" s="21" t="n">
        <f aca="false">SUM(D5:D9)</f>
        <v>590000</v>
      </c>
    </row>
    <row r="12" customFormat="false" ht="15" hidden="false" customHeight="false" outlineLevel="0" collapsed="false">
      <c r="B12" s="16" t="s">
        <v>233</v>
      </c>
      <c r="C12" s="17"/>
      <c r="D12" s="17"/>
      <c r="E12" s="17"/>
    </row>
    <row r="13" customFormat="false" ht="15" hidden="false" customHeight="false" outlineLevel="0" collapsed="false">
      <c r="B13" s="3" t="s">
        <v>234</v>
      </c>
      <c r="C13" s="18" t="n">
        <f aca="false">Assumptions!C78*Investment!C10</f>
        <v>396750</v>
      </c>
      <c r="D13" s="18" t="n">
        <f aca="false">Assumptions!C78*Investment!D10</f>
        <v>88500</v>
      </c>
      <c r="E13" s="2" t="s">
        <v>235</v>
      </c>
    </row>
    <row r="14" customFormat="false" ht="15" hidden="false" customHeight="false" outlineLevel="0" collapsed="false">
      <c r="B14" s="3" t="s">
        <v>236</v>
      </c>
      <c r="C14" s="18" t="n">
        <f aca="false">Assumptions!C79*Assumptions!C80</f>
        <v>280000</v>
      </c>
      <c r="D14" s="18" t="n">
        <f aca="false">Assumptions!C79*Assumptions!C80*0.5</f>
        <v>140000</v>
      </c>
      <c r="E14" s="2" t="s">
        <v>237</v>
      </c>
    </row>
    <row r="15" customFormat="false" ht="15" hidden="false" customHeight="false" outlineLevel="0" collapsed="false">
      <c r="B15" s="3" t="s">
        <v>238</v>
      </c>
      <c r="C15" s="18" t="n">
        <f aca="false">Assumptions!C81</f>
        <v>25000</v>
      </c>
      <c r="D15" s="18" t="n">
        <f aca="false">Assumptions!C81*0.3</f>
        <v>7500</v>
      </c>
      <c r="E15" s="2"/>
    </row>
    <row r="16" customFormat="false" ht="15" hidden="false" customHeight="false" outlineLevel="0" collapsed="false">
      <c r="B16" s="3" t="s">
        <v>239</v>
      </c>
      <c r="C16" s="18" t="n">
        <f aca="false">Assumptions!C82</f>
        <v>100000</v>
      </c>
      <c r="D16" s="18" t="n">
        <f aca="false">Assumptions!C82*0.5</f>
        <v>50000</v>
      </c>
      <c r="E16" s="2"/>
    </row>
    <row r="17" customFormat="false" ht="15" hidden="false" customHeight="false" outlineLevel="0" collapsed="false">
      <c r="B17" s="20" t="s">
        <v>240</v>
      </c>
      <c r="C17" s="21" t="n">
        <f aca="false">SUM(C13:C16)</f>
        <v>801750</v>
      </c>
      <c r="D17" s="21" t="n">
        <f aca="false">SUM(D13:D16)</f>
        <v>286000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8" min="3" style="0" width="15"/>
  </cols>
  <sheetData>
    <row r="1" customFormat="false" ht="17.35" hidden="false" customHeight="false" outlineLevel="0" collapsed="false">
      <c r="B1" s="1" t="s">
        <v>241</v>
      </c>
    </row>
    <row r="2" customFormat="false" ht="15" hidden="false" customHeight="false" outlineLevel="0" collapsed="false">
      <c r="B2" s="2" t="s">
        <v>242</v>
      </c>
    </row>
    <row r="4" customFormat="false" ht="15" hidden="false" customHeight="false" outlineLevel="0" collapsed="false">
      <c r="B4" s="16" t="s">
        <v>243</v>
      </c>
      <c r="C4" s="17"/>
      <c r="D4" s="17"/>
      <c r="E4" s="17"/>
      <c r="F4" s="17"/>
      <c r="G4" s="17"/>
      <c r="H4" s="17"/>
    </row>
    <row r="5" customFormat="false" ht="15" hidden="false" customHeight="false" outlineLevel="0" collapsed="false">
      <c r="B5" s="28"/>
      <c r="C5" s="28" t="s">
        <v>244</v>
      </c>
      <c r="D5" s="28" t="s">
        <v>245</v>
      </c>
      <c r="E5" s="28" t="s">
        <v>246</v>
      </c>
      <c r="F5" s="28" t="s">
        <v>247</v>
      </c>
      <c r="G5" s="28" t="s">
        <v>248</v>
      </c>
      <c r="H5" s="28" t="s">
        <v>249</v>
      </c>
    </row>
    <row r="6" customFormat="false" ht="15" hidden="false" customHeight="false" outlineLevel="0" collapsed="false">
      <c r="B6" s="3" t="s">
        <v>250</v>
      </c>
      <c r="C6" s="29" t="n">
        <v>0</v>
      </c>
      <c r="D6" s="30" t="n">
        <f aca="false">Assumptions!C86</f>
        <v>0.3</v>
      </c>
      <c r="E6" s="30" t="n">
        <f aca="false">Assumptions!C87</f>
        <v>0.8</v>
      </c>
      <c r="F6" s="30" t="n">
        <f aca="false">Assumptions!C88</f>
        <v>1</v>
      </c>
      <c r="G6" s="30" t="n">
        <f aca="false">Assumptions!C88</f>
        <v>1</v>
      </c>
      <c r="H6" s="30" t="n">
        <f aca="false">Assumptions!C88</f>
        <v>1</v>
      </c>
    </row>
    <row r="7" customFormat="false" ht="15" hidden="false" customHeight="false" outlineLevel="0" collapsed="false">
      <c r="B7" s="3" t="s">
        <v>251</v>
      </c>
      <c r="C7" s="31" t="n">
        <v>0</v>
      </c>
      <c r="D7" s="18" t="n">
        <f aca="false">Outcomes!C44*D6</f>
        <v>2047384.83746561</v>
      </c>
      <c r="E7" s="18" t="n">
        <f aca="false">Outcomes!C44*E6</f>
        <v>5459692.8999083</v>
      </c>
      <c r="F7" s="18" t="n">
        <f aca="false">Outcomes!C44*F6</f>
        <v>6824616.12488538</v>
      </c>
      <c r="G7" s="18" t="n">
        <f aca="false">Outcomes!C44*G6</f>
        <v>6824616.12488538</v>
      </c>
      <c r="H7" s="18" t="n">
        <f aca="false">Outcomes!C44*H6</f>
        <v>6824616.12488538</v>
      </c>
    </row>
    <row r="8" customFormat="false" ht="15" hidden="false" customHeight="false" outlineLevel="0" collapsed="false">
      <c r="B8" s="3" t="s">
        <v>252</v>
      </c>
      <c r="C8" s="31" t="n">
        <v>0</v>
      </c>
      <c r="D8" s="18" t="n">
        <f aca="false">-Investment!C17</f>
        <v>-801750</v>
      </c>
      <c r="E8" s="18" t="n">
        <f aca="false">-Investment!C17</f>
        <v>-801750</v>
      </c>
      <c r="F8" s="18" t="n">
        <f aca="false">-Investment!C17</f>
        <v>-801750</v>
      </c>
      <c r="G8" s="18" t="n">
        <f aca="false">-Investment!C17</f>
        <v>-801750</v>
      </c>
      <c r="H8" s="18" t="n">
        <f aca="false">-Investment!C17</f>
        <v>-801750</v>
      </c>
    </row>
    <row r="9" customFormat="false" ht="15" hidden="false" customHeight="false" outlineLevel="0" collapsed="false">
      <c r="B9" s="3" t="s">
        <v>175</v>
      </c>
      <c r="C9" s="18" t="n">
        <f aca="false">-Investment!C10</f>
        <v>-2645000</v>
      </c>
      <c r="D9" s="31" t="n">
        <v>0</v>
      </c>
      <c r="E9" s="31" t="n">
        <v>0</v>
      </c>
      <c r="F9" s="31" t="n">
        <v>0</v>
      </c>
      <c r="G9" s="31" t="n">
        <v>0</v>
      </c>
      <c r="H9" s="31" t="n">
        <v>0</v>
      </c>
    </row>
    <row r="10" customFormat="false" ht="15" hidden="false" customHeight="false" outlineLevel="0" collapsed="false">
      <c r="B10" s="20" t="s">
        <v>253</v>
      </c>
      <c r="C10" s="21" t="n">
        <f aca="false">C7+C8+C9</f>
        <v>-2645000</v>
      </c>
      <c r="D10" s="21" t="n">
        <f aca="false">D7+D8+D9</f>
        <v>1245634.83746561</v>
      </c>
      <c r="E10" s="21" t="n">
        <f aca="false">E7+E8+E9</f>
        <v>4657942.8999083</v>
      </c>
      <c r="F10" s="21" t="n">
        <f aca="false">F7+F8+F9</f>
        <v>6022866.12488538</v>
      </c>
      <c r="G10" s="21" t="n">
        <f aca="false">G7+G8+G9</f>
        <v>6022866.12488538</v>
      </c>
      <c r="H10" s="21" t="n">
        <f aca="false">H7+H8+H9</f>
        <v>6022866.12488538</v>
      </c>
    </row>
    <row r="11" customFormat="false" ht="15" hidden="false" customHeight="false" outlineLevel="0" collapsed="false">
      <c r="B11" s="3" t="s">
        <v>254</v>
      </c>
      <c r="C11" s="31" t="n">
        <f aca="false">C10</f>
        <v>-2645000</v>
      </c>
      <c r="D11" s="18" t="n">
        <f aca="false">C11+D10</f>
        <v>-1399365.16253439</v>
      </c>
      <c r="E11" s="18" t="n">
        <f aca="false">D11+E10</f>
        <v>3258577.73737391</v>
      </c>
      <c r="F11" s="18" t="n">
        <f aca="false">E11+F10</f>
        <v>9281443.86225929</v>
      </c>
      <c r="G11" s="18" t="n">
        <f aca="false">F11+G10</f>
        <v>15304309.9871447</v>
      </c>
      <c r="H11" s="18" t="n">
        <f aca="false">G11+H10</f>
        <v>21327176.11203</v>
      </c>
    </row>
    <row r="13" customFormat="false" ht="15" hidden="false" customHeight="false" outlineLevel="0" collapsed="false">
      <c r="B13" s="20" t="s">
        <v>255</v>
      </c>
      <c r="C13" s="21" t="n">
        <f aca="false">C10+NPV(Assumptions!C89,D10:H10)</f>
        <v>15808994.0581366</v>
      </c>
    </row>
    <row r="14" customFormat="false" ht="15" hidden="false" customHeight="false" outlineLevel="0" collapsed="false">
      <c r="B14" s="20" t="s">
        <v>256</v>
      </c>
      <c r="C14" s="32" t="n">
        <f aca="false">IFERROR(IRR(C10:H10),"n/a")</f>
        <v>1.13663865744267</v>
      </c>
    </row>
    <row r="15" customFormat="false" ht="15" hidden="true" customHeight="false" outlineLevel="0" collapsed="false">
      <c r="B15" s="2" t="s">
        <v>257</v>
      </c>
      <c r="C15" s="2"/>
      <c r="D15" s="33" t="n">
        <f aca="false">IF(AND(C11&lt;0,D11&gt;=0),12*0+12*(-C11/D10),9999)</f>
        <v>9999</v>
      </c>
      <c r="E15" s="33" t="n">
        <f aca="false">IF(AND(D11&lt;0,E11&gt;=0),12*1+12*(-D11/E10),9999)</f>
        <v>15.6051068704048</v>
      </c>
      <c r="F15" s="33" t="n">
        <f aca="false">IF(AND(E11&lt;0,F11&gt;=0),12*2+12*(-E11/F10),9999)</f>
        <v>9999</v>
      </c>
      <c r="G15" s="33" t="n">
        <f aca="false">IF(AND(F11&lt;0,G11&gt;=0),12*3+12*(-F11/G10),9999)</f>
        <v>9999</v>
      </c>
      <c r="H15" s="33" t="n">
        <f aca="false">IF(AND(G11&lt;0,H11&gt;=0),12*4+12*(-G11/H10),9999)</f>
        <v>9999</v>
      </c>
    </row>
    <row r="16" customFormat="false" ht="15" hidden="false" customHeight="false" outlineLevel="0" collapsed="false">
      <c r="B16" s="20" t="s">
        <v>258</v>
      </c>
      <c r="C16" s="22" t="n">
        <f aca="false">IF(MIN(D15:H15)&gt;=9999,"beyond 5 yrs",MIN(D15:H15))</f>
        <v>15.6051068704048</v>
      </c>
    </row>
    <row r="17" customFormat="false" ht="15" hidden="false" customHeight="false" outlineLevel="0" collapsed="false">
      <c r="B17" s="20" t="s">
        <v>259</v>
      </c>
      <c r="C17" s="34" t="n">
        <f aca="false">IFERROR(H11/Investment!C10,0)</f>
        <v>8.06320457921741</v>
      </c>
    </row>
    <row r="20" customFormat="false" ht="15" hidden="false" customHeight="false" outlineLevel="0" collapsed="false">
      <c r="B20" s="16" t="s">
        <v>260</v>
      </c>
      <c r="C20" s="17"/>
      <c r="D20" s="17"/>
      <c r="E20" s="17"/>
      <c r="F20" s="17"/>
      <c r="G20" s="17"/>
      <c r="H20" s="17"/>
    </row>
    <row r="21" customFormat="false" ht="15" hidden="false" customHeight="false" outlineLevel="0" collapsed="false">
      <c r="B21" s="28"/>
      <c r="C21" s="28" t="s">
        <v>244</v>
      </c>
      <c r="D21" s="28" t="s">
        <v>245</v>
      </c>
      <c r="E21" s="28" t="s">
        <v>246</v>
      </c>
      <c r="F21" s="28" t="s">
        <v>247</v>
      </c>
      <c r="G21" s="28" t="s">
        <v>248</v>
      </c>
      <c r="H21" s="28" t="s">
        <v>249</v>
      </c>
    </row>
    <row r="22" customFormat="false" ht="15" hidden="false" customHeight="false" outlineLevel="0" collapsed="false">
      <c r="B22" s="3" t="s">
        <v>250</v>
      </c>
      <c r="C22" s="29" t="n">
        <v>0</v>
      </c>
      <c r="D22" s="30" t="n">
        <f aca="false">Assumptions!C86</f>
        <v>0.3</v>
      </c>
      <c r="E22" s="30" t="n">
        <f aca="false">Assumptions!C87</f>
        <v>0.8</v>
      </c>
      <c r="F22" s="30" t="n">
        <f aca="false">Assumptions!C88</f>
        <v>1</v>
      </c>
      <c r="G22" s="30" t="n">
        <f aca="false">Assumptions!C88</f>
        <v>1</v>
      </c>
      <c r="H22" s="30" t="n">
        <f aca="false">Assumptions!C88</f>
        <v>1</v>
      </c>
    </row>
    <row r="23" customFormat="false" ht="15" hidden="false" customHeight="false" outlineLevel="0" collapsed="false">
      <c r="B23" s="3" t="s">
        <v>251</v>
      </c>
      <c r="C23" s="31" t="n">
        <v>0</v>
      </c>
      <c r="D23" s="18" t="n">
        <f aca="false">Outcomes!C45*D22</f>
        <v>843228.299004074</v>
      </c>
      <c r="E23" s="18" t="n">
        <f aca="false">Outcomes!C45*E22</f>
        <v>2248608.7973442</v>
      </c>
      <c r="F23" s="18" t="n">
        <f aca="false">Outcomes!C45*F22</f>
        <v>2810760.99668025</v>
      </c>
      <c r="G23" s="18" t="n">
        <f aca="false">Outcomes!C45*G22</f>
        <v>2810760.99668025</v>
      </c>
      <c r="H23" s="18" t="n">
        <f aca="false">Outcomes!C45*H22</f>
        <v>2810760.99668025</v>
      </c>
    </row>
    <row r="24" customFormat="false" ht="15" hidden="false" customHeight="false" outlineLevel="0" collapsed="false">
      <c r="B24" s="3" t="s">
        <v>252</v>
      </c>
      <c r="C24" s="31" t="n">
        <v>0</v>
      </c>
      <c r="D24" s="18" t="n">
        <f aca="false">-Investment!D17</f>
        <v>-286000</v>
      </c>
      <c r="E24" s="18" t="n">
        <f aca="false">-Investment!D17</f>
        <v>-286000</v>
      </c>
      <c r="F24" s="18" t="n">
        <f aca="false">-Investment!D17</f>
        <v>-286000</v>
      </c>
      <c r="G24" s="18" t="n">
        <f aca="false">-Investment!D17</f>
        <v>-286000</v>
      </c>
      <c r="H24" s="18" t="n">
        <f aca="false">-Investment!D17</f>
        <v>-286000</v>
      </c>
    </row>
    <row r="25" customFormat="false" ht="15" hidden="false" customHeight="false" outlineLevel="0" collapsed="false">
      <c r="B25" s="3" t="s">
        <v>175</v>
      </c>
      <c r="C25" s="18" t="n">
        <f aca="false">-Investment!D10</f>
        <v>-590000</v>
      </c>
      <c r="D25" s="31" t="n">
        <v>0</v>
      </c>
      <c r="E25" s="31" t="n">
        <v>0</v>
      </c>
      <c r="F25" s="31" t="n">
        <v>0</v>
      </c>
      <c r="G25" s="31" t="n">
        <v>0</v>
      </c>
      <c r="H25" s="31" t="n">
        <v>0</v>
      </c>
    </row>
    <row r="26" customFormat="false" ht="15" hidden="false" customHeight="false" outlineLevel="0" collapsed="false">
      <c r="B26" s="20" t="s">
        <v>253</v>
      </c>
      <c r="C26" s="21" t="n">
        <f aca="false">C23+C24+C25</f>
        <v>-590000</v>
      </c>
      <c r="D26" s="21" t="n">
        <f aca="false">D23+D24+D25</f>
        <v>557228.299004074</v>
      </c>
      <c r="E26" s="21" t="n">
        <f aca="false">E23+E24+E25</f>
        <v>1962608.7973442</v>
      </c>
      <c r="F26" s="21" t="n">
        <f aca="false">F23+F24+F25</f>
        <v>2524760.99668025</v>
      </c>
      <c r="G26" s="21" t="n">
        <f aca="false">G23+G24+G25</f>
        <v>2524760.99668025</v>
      </c>
      <c r="H26" s="21" t="n">
        <f aca="false">H23+H24+H25</f>
        <v>2524760.99668025</v>
      </c>
    </row>
    <row r="27" customFormat="false" ht="15" hidden="false" customHeight="false" outlineLevel="0" collapsed="false">
      <c r="B27" s="3" t="s">
        <v>254</v>
      </c>
      <c r="C27" s="31" t="n">
        <f aca="false">C26</f>
        <v>-590000</v>
      </c>
      <c r="D27" s="18" t="n">
        <f aca="false">C27+D26</f>
        <v>-32771.7009959257</v>
      </c>
      <c r="E27" s="18" t="n">
        <f aca="false">D27+E26</f>
        <v>1929837.09634827</v>
      </c>
      <c r="F27" s="18" t="n">
        <f aca="false">E27+F26</f>
        <v>4454598.09302852</v>
      </c>
      <c r="G27" s="18" t="n">
        <f aca="false">F27+G26</f>
        <v>6979359.08970877</v>
      </c>
      <c r="H27" s="18" t="n">
        <f aca="false">G27+H26</f>
        <v>9504120.08638901</v>
      </c>
    </row>
    <row r="29" customFormat="false" ht="15" hidden="false" customHeight="false" outlineLevel="0" collapsed="false">
      <c r="B29" s="20" t="s">
        <v>255</v>
      </c>
      <c r="C29" s="21" t="n">
        <f aca="false">C26+NPV(Assumptions!C89,D26:H26)</f>
        <v>7186894.13437433</v>
      </c>
    </row>
    <row r="30" customFormat="false" ht="15" hidden="false" customHeight="false" outlineLevel="0" collapsed="false">
      <c r="B30" s="20" t="s">
        <v>256</v>
      </c>
      <c r="C30" s="32" t="n">
        <f aca="false">IFERROR(IRR(C26:H26),"n/a")</f>
        <v>1.86858695358068</v>
      </c>
    </row>
    <row r="31" customFormat="false" ht="15" hidden="true" customHeight="false" outlineLevel="0" collapsed="false">
      <c r="B31" s="2" t="s">
        <v>257</v>
      </c>
      <c r="C31" s="2"/>
      <c r="D31" s="33" t="n">
        <f aca="false">IF(AND(C27&lt;0,D27&gt;=0),12*0+12*(-C27/D26),9999)</f>
        <v>9999</v>
      </c>
      <c r="E31" s="33" t="n">
        <f aca="false">IF(AND(D27&lt;0,E27&gt;=0),12*1+12*(-D27/E26),9999)</f>
        <v>12.2003763625656</v>
      </c>
      <c r="F31" s="33" t="n">
        <f aca="false">IF(AND(E27&lt;0,F27&gt;=0),12*2+12*(-E27/F26),9999)</f>
        <v>9999</v>
      </c>
      <c r="G31" s="33" t="n">
        <f aca="false">IF(AND(F27&lt;0,G27&gt;=0),12*3+12*(-F27/G26),9999)</f>
        <v>9999</v>
      </c>
      <c r="H31" s="33" t="n">
        <f aca="false">IF(AND(G27&lt;0,H27&gt;=0),12*4+12*(-G27/H26),9999)</f>
        <v>9999</v>
      </c>
    </row>
    <row r="32" customFormat="false" ht="15" hidden="false" customHeight="false" outlineLevel="0" collapsed="false">
      <c r="B32" s="20" t="s">
        <v>258</v>
      </c>
      <c r="C32" s="22" t="n">
        <f aca="false">IF(MIN(D31:H31)&gt;=9999,"beyond 5 yrs",MIN(D31:H31))</f>
        <v>12.2003763625656</v>
      </c>
    </row>
    <row r="33" customFormat="false" ht="15" hidden="false" customHeight="false" outlineLevel="0" collapsed="false">
      <c r="B33" s="20" t="s">
        <v>259</v>
      </c>
      <c r="C33" s="34" t="n">
        <f aca="false">IFERROR(H27/Investment!D10,0)</f>
        <v>16.1086781125238</v>
      </c>
    </row>
    <row r="36" customFormat="false" ht="15" hidden="false" customHeight="false" outlineLevel="0" collapsed="false">
      <c r="B36" s="2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8" min="3" style="0" width="15"/>
  </cols>
  <sheetData>
    <row r="1" customFormat="false" ht="17.35" hidden="false" customHeight="false" outlineLevel="0" collapsed="false">
      <c r="B1" s="1" t="s">
        <v>262</v>
      </c>
    </row>
    <row r="2" customFormat="false" ht="15" hidden="false" customHeight="false" outlineLevel="0" collapsed="false">
      <c r="B2" s="2" t="s">
        <v>263</v>
      </c>
    </row>
    <row r="4" customFormat="false" ht="15" hidden="false" customHeight="false" outlineLevel="0" collapsed="false">
      <c r="B4" s="4" t="s">
        <v>264</v>
      </c>
    </row>
    <row r="5" customFormat="false" ht="15" hidden="false" customHeight="false" outlineLevel="0" collapsed="false">
      <c r="B5" s="3" t="s">
        <v>265</v>
      </c>
      <c r="C5" s="35" t="n">
        <f aca="false">Outcomes!C38</f>
        <v>6824616.12488538</v>
      </c>
    </row>
    <row r="6" customFormat="false" ht="15" hidden="false" customHeight="false" outlineLevel="0" collapsed="false">
      <c r="B6" s="3" t="s">
        <v>266</v>
      </c>
      <c r="C6" s="35" t="n">
        <f aca="false">Outcomes!C44</f>
        <v>6824616.12488538</v>
      </c>
    </row>
    <row r="7" customFormat="false" ht="15" hidden="false" customHeight="false" outlineLevel="0" collapsed="false">
      <c r="B7" s="3" t="s">
        <v>267</v>
      </c>
      <c r="C7" s="35" t="n">
        <f aca="false">Outcomes!C45</f>
        <v>2810760.99668025</v>
      </c>
    </row>
    <row r="8" customFormat="false" ht="15" hidden="false" customHeight="false" outlineLevel="0" collapsed="false">
      <c r="B8" s="3" t="s">
        <v>268</v>
      </c>
      <c r="C8" s="36" t="n">
        <f aca="false">Outcomes!D38</f>
        <v>52.1746794871795</v>
      </c>
    </row>
    <row r="9" customFormat="false" ht="15" hidden="false" customHeight="false" outlineLevel="0" collapsed="false">
      <c r="B9" s="3" t="s">
        <v>269</v>
      </c>
      <c r="C9" s="36" t="n">
        <f aca="false">Outcomes!D40</f>
        <v>28.5865384615385</v>
      </c>
    </row>
    <row r="10" customFormat="false" ht="15" hidden="false" customHeight="false" outlineLevel="0" collapsed="false">
      <c r="B10" s="3" t="s">
        <v>270</v>
      </c>
      <c r="C10" s="35" t="n">
        <f aca="false">Investment!C10</f>
        <v>2645000</v>
      </c>
    </row>
    <row r="11" customFormat="false" ht="15" hidden="false" customHeight="false" outlineLevel="0" collapsed="false">
      <c r="B11" s="3" t="s">
        <v>271</v>
      </c>
      <c r="C11" s="35" t="n">
        <f aca="false">Investment!D10</f>
        <v>590000</v>
      </c>
    </row>
    <row r="13" customFormat="false" ht="15" hidden="false" customHeight="false" outlineLevel="0" collapsed="false">
      <c r="B13" s="4" t="s">
        <v>272</v>
      </c>
    </row>
    <row r="14" customFormat="false" ht="30" hidden="false" customHeight="true" outlineLevel="0" collapsed="false">
      <c r="B14" s="20" t="s">
        <v>273</v>
      </c>
      <c r="C14" s="37" t="s">
        <v>274</v>
      </c>
      <c r="D14" s="37"/>
      <c r="E14" s="37"/>
      <c r="F14" s="37"/>
      <c r="G14" s="37"/>
      <c r="H14" s="37"/>
    </row>
    <row r="15" customFormat="false" ht="30" hidden="false" customHeight="true" outlineLevel="0" collapsed="false">
      <c r="B15" s="20" t="s">
        <v>275</v>
      </c>
      <c r="C15" s="37" t="s">
        <v>276</v>
      </c>
      <c r="D15" s="37"/>
      <c r="E15" s="37"/>
      <c r="F15" s="37"/>
      <c r="G15" s="37"/>
      <c r="H15" s="37"/>
    </row>
    <row r="16" customFormat="false" ht="30" hidden="false" customHeight="true" outlineLevel="0" collapsed="false">
      <c r="B16" s="20" t="s">
        <v>277</v>
      </c>
      <c r="C16" s="37" t="s">
        <v>278</v>
      </c>
      <c r="D16" s="37"/>
      <c r="E16" s="37"/>
      <c r="F16" s="37"/>
      <c r="G16" s="37"/>
      <c r="H16" s="37"/>
    </row>
    <row r="17" customFormat="false" ht="30" hidden="false" customHeight="true" outlineLevel="0" collapsed="false">
      <c r="B17" s="20" t="s">
        <v>279</v>
      </c>
      <c r="C17" s="37" t="s">
        <v>280</v>
      </c>
      <c r="D17" s="37"/>
      <c r="E17" s="37"/>
      <c r="F17" s="37"/>
      <c r="G17" s="37"/>
      <c r="H17" s="37"/>
    </row>
    <row r="18" customFormat="false" ht="30" hidden="false" customHeight="true" outlineLevel="0" collapsed="false">
      <c r="B18" s="20" t="s">
        <v>281</v>
      </c>
      <c r="C18" s="37" t="s">
        <v>282</v>
      </c>
      <c r="D18" s="37"/>
      <c r="E18" s="37"/>
      <c r="F18" s="37"/>
      <c r="G18" s="37"/>
      <c r="H18" s="37"/>
    </row>
    <row r="19" customFormat="false" ht="30" hidden="false" customHeight="true" outlineLevel="0" collapsed="false">
      <c r="B19" s="20" t="s">
        <v>283</v>
      </c>
      <c r="C19" s="37" t="s">
        <v>284</v>
      </c>
      <c r="D19" s="37"/>
      <c r="E19" s="37"/>
      <c r="F19" s="37"/>
      <c r="G19" s="37"/>
      <c r="H19" s="37"/>
    </row>
    <row r="21" customFormat="false" ht="15" hidden="false" customHeight="false" outlineLevel="0" collapsed="false">
      <c r="B21" s="4" t="s">
        <v>285</v>
      </c>
    </row>
    <row r="22" customFormat="false" ht="15" hidden="false" customHeight="true" outlineLevel="0" collapsed="false">
      <c r="B22" s="38" t="s">
        <v>286</v>
      </c>
      <c r="C22" s="38"/>
      <c r="D22" s="38"/>
      <c r="E22" s="38"/>
      <c r="F22" s="38"/>
      <c r="G22" s="38"/>
      <c r="H22" s="38"/>
    </row>
    <row r="23" customFormat="false" ht="15" hidden="false" customHeight="false" outlineLevel="0" collapsed="false">
      <c r="B23" s="38"/>
      <c r="C23" s="38"/>
      <c r="D23" s="38"/>
      <c r="E23" s="38"/>
      <c r="F23" s="38"/>
      <c r="G23" s="38"/>
      <c r="H23" s="38"/>
    </row>
    <row r="24" customFormat="false" ht="15" hidden="false" customHeight="false" outlineLevel="0" collapsed="false">
      <c r="B24" s="38"/>
      <c r="C24" s="38"/>
      <c r="D24" s="38"/>
      <c r="E24" s="38"/>
      <c r="F24" s="38"/>
      <c r="G24" s="38"/>
      <c r="H24" s="38"/>
    </row>
    <row r="25" customFormat="false" ht="15" hidden="false" customHeight="false" outlineLevel="0" collapsed="false">
      <c r="B25" s="38"/>
      <c r="C25" s="38"/>
      <c r="D25" s="38"/>
      <c r="E25" s="38"/>
      <c r="F25" s="38"/>
      <c r="G25" s="38"/>
      <c r="H25" s="38"/>
    </row>
  </sheetData>
  <mergeCells count="7">
    <mergeCell ref="C14:H14"/>
    <mergeCell ref="C15:H15"/>
    <mergeCell ref="C16:H16"/>
    <mergeCell ref="C17:H17"/>
    <mergeCell ref="C18:H18"/>
    <mergeCell ref="C19:H19"/>
    <mergeCell ref="B22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2026-08-04T17:07:11Z</dcterms:created>
  <dc:creator>openpyxl</dc:creator>
  <dc:description/>
  <dc:language>en-US</dc:language>
  <cp:lastModifiedBy/>
  <dcterms:modified xsi:type="dcterms:W3CDTF">2026-08-04T17:07:11Z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